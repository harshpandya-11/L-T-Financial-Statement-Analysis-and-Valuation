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D:\L&amp;T Financial Analysis Project\Excel Model\"/>
    </mc:Choice>
  </mc:AlternateContent>
  <xr:revisionPtr revIDLastSave="0" documentId="13_ncr:1_{D3F39EF3-58B7-40FD-8C6C-7863804A266D}" xr6:coauthVersionLast="47" xr6:coauthVersionMax="47" xr10:uidLastSave="{00000000-0000-0000-0000-000000000000}"/>
  <bookViews>
    <workbookView xWindow="-110" yWindow="-110" windowWidth="19420" windowHeight="10300" activeTab="4" xr2:uid="{D15AED18-50F6-48F7-A72C-A5817B54AE97}"/>
  </bookViews>
  <sheets>
    <sheet name="Cover Page" sheetId="1" r:id="rId1"/>
    <sheet name="Raw Data" sheetId="10" r:id="rId2"/>
    <sheet name="Financial Ratios" sheetId="3" r:id="rId3"/>
    <sheet name="DCF Valuation" sheetId="4" r:id="rId4"/>
    <sheet name="Sensitivity Analysis" sheetId="5" r:id="rId5"/>
    <sheet name="Chart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 i="4" l="1"/>
  <c r="S34" i="6"/>
  <c r="T30" i="6"/>
  <c r="T29" i="6"/>
  <c r="T28" i="6"/>
  <c r="T27" i="6"/>
  <c r="T26" i="6"/>
  <c r="S30" i="6"/>
  <c r="S29" i="6"/>
  <c r="S28" i="6"/>
  <c r="S27" i="6"/>
  <c r="S26" i="6"/>
  <c r="T23" i="6"/>
  <c r="T22" i="6"/>
  <c r="T21" i="6"/>
  <c r="T20" i="6"/>
  <c r="T19" i="6"/>
  <c r="S23" i="6"/>
  <c r="S22" i="6"/>
  <c r="S21" i="6"/>
  <c r="S20" i="6"/>
  <c r="S19" i="6"/>
  <c r="S12" i="6"/>
  <c r="T12" i="6"/>
  <c r="S13" i="6"/>
  <c r="T13" i="6"/>
  <c r="S14" i="6"/>
  <c r="T14" i="6"/>
  <c r="S15" i="6"/>
  <c r="T15" i="6"/>
  <c r="S16" i="6"/>
  <c r="T16" i="6"/>
  <c r="S5" i="6"/>
  <c r="S6" i="6"/>
  <c r="S7" i="6"/>
  <c r="S8" i="6"/>
  <c r="S9" i="6"/>
  <c r="D27" i="4"/>
  <c r="B43" i="4"/>
  <c r="B27" i="4"/>
  <c r="F54" i="4"/>
  <c r="E54" i="4"/>
  <c r="D54" i="4"/>
  <c r="C54" i="4"/>
  <c r="B54" i="4"/>
  <c r="F52" i="4"/>
  <c r="E52" i="4"/>
  <c r="D52" i="4"/>
  <c r="C52" i="4"/>
  <c r="B10" i="4"/>
  <c r="B52" i="4"/>
  <c r="F51" i="4"/>
  <c r="E51" i="4"/>
  <c r="B9" i="4" s="1"/>
  <c r="D51" i="4"/>
  <c r="C51" i="4"/>
  <c r="B51" i="4"/>
  <c r="E50" i="4"/>
  <c r="D50" i="4"/>
  <c r="C50" i="4"/>
  <c r="B8" i="4" s="1"/>
  <c r="B50" i="4"/>
  <c r="B41" i="4"/>
  <c r="F32" i="4"/>
  <c r="E32" i="4"/>
  <c r="D32" i="4"/>
  <c r="C32" i="4"/>
  <c r="B32" i="4"/>
  <c r="C26" i="4"/>
  <c r="B26" i="4"/>
  <c r="F26" i="4"/>
  <c r="E26" i="4"/>
  <c r="D26" i="4"/>
  <c r="C21" i="4"/>
  <c r="D21" i="4"/>
  <c r="E21" i="4"/>
  <c r="F21" i="4"/>
  <c r="B21" i="4"/>
  <c r="D18" i="4"/>
  <c r="E18" i="4"/>
  <c r="F18" i="4"/>
  <c r="C18" i="4"/>
  <c r="B18" i="4"/>
  <c r="F17" i="4"/>
  <c r="E17" i="4"/>
  <c r="D17" i="4"/>
  <c r="C17" i="4"/>
  <c r="B17" i="4"/>
  <c r="B7" i="4"/>
  <c r="C49" i="4"/>
  <c r="D49" i="4"/>
  <c r="E49" i="4"/>
  <c r="F49" i="4"/>
  <c r="B49" i="4"/>
  <c r="D26" i="3"/>
  <c r="E26" i="3"/>
  <c r="F26" i="3"/>
  <c r="G26" i="3"/>
  <c r="C26" i="3"/>
  <c r="D23" i="3"/>
  <c r="E23" i="3"/>
  <c r="F23" i="3"/>
  <c r="G23" i="3"/>
  <c r="C23" i="3"/>
  <c r="D22" i="3"/>
  <c r="E22" i="3"/>
  <c r="F22" i="3"/>
  <c r="G22" i="3"/>
  <c r="C22" i="3"/>
  <c r="D19" i="3"/>
  <c r="E19" i="3"/>
  <c r="F19" i="3"/>
  <c r="G19" i="3"/>
  <c r="C19" i="3"/>
  <c r="D18" i="3"/>
  <c r="E18" i="3"/>
  <c r="F18" i="3"/>
  <c r="G18" i="3"/>
  <c r="C18" i="3"/>
  <c r="D17" i="3"/>
  <c r="E17" i="3"/>
  <c r="F17" i="3"/>
  <c r="G17" i="3"/>
  <c r="C17" i="3"/>
  <c r="D14" i="3"/>
  <c r="E14" i="3"/>
  <c r="F14" i="3"/>
  <c r="G14" i="3"/>
  <c r="C14" i="3"/>
  <c r="D13" i="3"/>
  <c r="E13" i="3"/>
  <c r="F13" i="3"/>
  <c r="G13" i="3"/>
  <c r="C13" i="3"/>
  <c r="D12" i="3"/>
  <c r="E12" i="3"/>
  <c r="F12" i="3"/>
  <c r="G12" i="3"/>
  <c r="C12" i="3"/>
  <c r="D9" i="3"/>
  <c r="E9" i="3"/>
  <c r="F9" i="3"/>
  <c r="G9" i="3"/>
  <c r="C9" i="3"/>
  <c r="D8" i="3"/>
  <c r="E8" i="3"/>
  <c r="F8" i="3"/>
  <c r="G8" i="3"/>
  <c r="C8" i="3"/>
  <c r="D7" i="3"/>
  <c r="E7" i="3"/>
  <c r="F7" i="3"/>
  <c r="G7" i="3"/>
  <c r="C7" i="3"/>
  <c r="B33" i="3"/>
  <c r="D31" i="3"/>
  <c r="E31" i="3"/>
  <c r="F31" i="3"/>
  <c r="G31" i="3"/>
  <c r="C31" i="3"/>
  <c r="D30" i="3"/>
  <c r="E30" i="3"/>
  <c r="F30" i="3"/>
  <c r="G30" i="3"/>
  <c r="C30" i="3"/>
  <c r="G29" i="3"/>
  <c r="D29" i="3"/>
  <c r="E29" i="3"/>
  <c r="F29" i="3"/>
  <c r="C29" i="3"/>
  <c r="D5" i="3"/>
  <c r="E5" i="3"/>
  <c r="F5" i="3"/>
  <c r="G5" i="3"/>
  <c r="C5" i="3"/>
  <c r="D6" i="3"/>
  <c r="E6" i="3"/>
  <c r="F6" i="3"/>
  <c r="G6" i="3"/>
  <c r="C6" i="3"/>
  <c r="F27" i="4" l="1"/>
  <c r="E27" i="4"/>
  <c r="C27" i="4"/>
  <c r="E25" i="4"/>
  <c r="C25" i="4"/>
  <c r="F25" i="4"/>
  <c r="D25" i="4"/>
  <c r="B25" i="4"/>
  <c r="F22" i="4"/>
  <c r="E22" i="4"/>
  <c r="D22" i="4"/>
  <c r="C22" i="4"/>
  <c r="B22" i="4"/>
  <c r="F23" i="4" l="1"/>
  <c r="F24" i="4"/>
  <c r="F28" i="4" s="1"/>
  <c r="F31" i="4" s="1"/>
  <c r="E23" i="4"/>
  <c r="E24" i="4" s="1"/>
  <c r="E28" i="4" s="1"/>
  <c r="E31" i="4" s="1"/>
  <c r="E33" i="4" s="1"/>
  <c r="D23" i="4"/>
  <c r="D24" i="4" s="1"/>
  <c r="D28" i="4" s="1"/>
  <c r="D31" i="4" s="1"/>
  <c r="C23" i="4"/>
  <c r="C24" i="4" s="1"/>
  <c r="C28" i="4" s="1"/>
  <c r="C31" i="4" s="1"/>
  <c r="C33" i="4" s="1"/>
  <c r="B23" i="4"/>
  <c r="B24" i="4" s="1"/>
  <c r="B28" i="4" s="1"/>
  <c r="B31" i="4" s="1"/>
  <c r="B33" i="4" s="1"/>
  <c r="F33" i="4" l="1"/>
  <c r="B34" i="4"/>
  <c r="B35" i="4" s="1"/>
  <c r="D33" i="4"/>
  <c r="B36" i="4" s="1"/>
  <c r="B40" i="4" s="1"/>
  <c r="B42" i="4" s="1"/>
  <c r="B44" i="4" s="1"/>
  <c r="E7" i="5"/>
  <c r="D7" i="5"/>
  <c r="C7" i="5"/>
  <c r="B7" i="5"/>
  <c r="F11" i="5"/>
  <c r="E11" i="5"/>
  <c r="D11" i="5"/>
  <c r="C11" i="5"/>
  <c r="B11" i="5"/>
  <c r="F10" i="5"/>
  <c r="E10" i="5"/>
  <c r="D10" i="5"/>
  <c r="C10" i="5"/>
  <c r="B10" i="5"/>
  <c r="F9" i="5"/>
  <c r="E9" i="5"/>
  <c r="D9" i="5"/>
  <c r="C9" i="5"/>
  <c r="B9" i="5"/>
  <c r="F8" i="5"/>
  <c r="E8" i="5"/>
  <c r="D8" i="5"/>
  <c r="C8" i="5"/>
  <c r="B8" i="5"/>
  <c r="F7" i="5"/>
  <c r="B46" i="4" l="1"/>
  <c r="S33" i="6"/>
</calcChain>
</file>

<file path=xl/sharedStrings.xml><?xml version="1.0" encoding="utf-8"?>
<sst xmlns="http://schemas.openxmlformats.org/spreadsheetml/2006/main" count="251" uniqueCount="202">
  <si>
    <t>Particulars</t>
  </si>
  <si>
    <t>Depreciation</t>
  </si>
  <si>
    <t>Tax</t>
  </si>
  <si>
    <t>Larsen &amp; Toubro Ltd. – Raw Financial Data (₹ Crores)</t>
  </si>
  <si>
    <t>PROFIT &amp; LOSS</t>
  </si>
  <si>
    <t>Ratio</t>
  </si>
  <si>
    <t>Formula</t>
  </si>
  <si>
    <t>Interpretation</t>
  </si>
  <si>
    <t>PROFITABILITY RATIOS</t>
  </si>
  <si>
    <t>Operating Profit Margin (%)</t>
  </si>
  <si>
    <t>Operating Profit ÷ Sales</t>
  </si>
  <si>
    <t>Net Profit Margin (%)</t>
  </si>
  <si>
    <t>Net Profit ÷ Sales</t>
  </si>
  <si>
    <t>Return on Equity (ROE) (%)</t>
  </si>
  <si>
    <t>Net Profit ÷ Equity</t>
  </si>
  <si>
    <t>Return on Assets (ROA) (%)</t>
  </si>
  <si>
    <t>Net Profit ÷ Total Assets</t>
  </si>
  <si>
    <t>Return on Capital Employed (ROCE) (%)</t>
  </si>
  <si>
    <t>EBIT ÷ Capital Employed</t>
  </si>
  <si>
    <t>LEVERAGE RATIOS</t>
  </si>
  <si>
    <t>Debt-to-Equity Ratio</t>
  </si>
  <si>
    <t>Borrowings ÷ Equity</t>
  </si>
  <si>
    <t>Interest Coverage Ratio</t>
  </si>
  <si>
    <t>EBIT ÷ Interest</t>
  </si>
  <si>
    <t>Debt Ratio</t>
  </si>
  <si>
    <t>Borrowings ÷ Total Assets</t>
  </si>
  <si>
    <t>EFFICIENCY RATIOS</t>
  </si>
  <si>
    <t>Asset Turnover Ratio</t>
  </si>
  <si>
    <t>Sales ÷ Total Assets</t>
  </si>
  <si>
    <t>Fixed Asset Turnover Ratio</t>
  </si>
  <si>
    <t>Sales ÷ Net Block</t>
  </si>
  <si>
    <t>Financial Ratio Analysis of Larsen &amp; Toubro Ltd. (FY 2022–FY 2026)</t>
  </si>
  <si>
    <t>Helper Calculation</t>
  </si>
  <si>
    <t>Shareholder's Equity</t>
  </si>
  <si>
    <t>EBIT</t>
  </si>
  <si>
    <t>Capital Employed</t>
  </si>
  <si>
    <t>Equity Capital + Reserves</t>
  </si>
  <si>
    <t>Operating Profit + Other Income</t>
  </si>
  <si>
    <t>Financial Statement Analysis &amp; Valuation of Larsen &amp; Toubro Ltd.</t>
  </si>
  <si>
    <t>(Based on Financial Statements for FY2022–FY2026)</t>
  </si>
  <si>
    <t>Field</t>
  </si>
  <si>
    <t>Details</t>
  </si>
  <si>
    <t>Company</t>
  </si>
  <si>
    <t>Industry</t>
  </si>
  <si>
    <t>Engineering &amp; Construction</t>
  </si>
  <si>
    <t>Analysis Period</t>
  </si>
  <si>
    <t>Currency</t>
  </si>
  <si>
    <t>Data Source</t>
  </si>
  <si>
    <t>Screener.in &amp; Annual Reports</t>
  </si>
  <si>
    <t>Valuation Method</t>
  </si>
  <si>
    <t>Discounted Cash Flow (DCF)</t>
  </si>
  <si>
    <t>Project Type</t>
  </si>
  <si>
    <t>Financial Statement Analysis &amp; Valuation</t>
  </si>
  <si>
    <t>Submitted By</t>
  </si>
  <si>
    <t>Enrollment No.</t>
  </si>
  <si>
    <t>Programme</t>
  </si>
  <si>
    <t>University</t>
  </si>
  <si>
    <t>Academic Year</t>
  </si>
  <si>
    <t>PROJECT DETAILS</t>
  </si>
  <si>
    <t>Guide</t>
  </si>
  <si>
    <t>MBA in Finance with SAP</t>
  </si>
  <si>
    <t>STUDENT INFORMATION</t>
  </si>
  <si>
    <t>FY2022 - FY2026</t>
  </si>
  <si>
    <t>Crores</t>
  </si>
  <si>
    <t>2026-27</t>
  </si>
  <si>
    <t>Prepared as a part of the MBA Financial Statement Analysis &amp; Valuation Project</t>
  </si>
  <si>
    <t>FY2027</t>
  </si>
  <si>
    <t>FY2028</t>
  </si>
  <si>
    <t>FY2029</t>
  </si>
  <si>
    <t>FY2030</t>
  </si>
  <si>
    <t>FY2031</t>
  </si>
  <si>
    <t>ASSUMPTIONS</t>
  </si>
  <si>
    <t>Assumptions</t>
  </si>
  <si>
    <t>Remarks</t>
  </si>
  <si>
    <t>Revenue Growth</t>
  </si>
  <si>
    <t>EBIT Margin</t>
  </si>
  <si>
    <t>Depreciation %</t>
  </si>
  <si>
    <t>Working Capital %</t>
  </si>
  <si>
    <t>WACC</t>
  </si>
  <si>
    <t>Terminal Growth</t>
  </si>
  <si>
    <t>REVENUE PROJECTIONS</t>
  </si>
  <si>
    <t xml:space="preserve">Revenue    </t>
  </si>
  <si>
    <t>FREE CASH FLOW</t>
  </si>
  <si>
    <t>Revenue</t>
  </si>
  <si>
    <t>NOPAT</t>
  </si>
  <si>
    <t>Capex</t>
  </si>
  <si>
    <t>Change in Working Capital</t>
  </si>
  <si>
    <t>Free Cash Flow</t>
  </si>
  <si>
    <t>DCF VALUATION</t>
  </si>
  <si>
    <t>Discount Factor</t>
  </si>
  <si>
    <t>Present Value</t>
  </si>
  <si>
    <t>Terminal Value</t>
  </si>
  <si>
    <t>Present Value of Terminal Value</t>
  </si>
  <si>
    <t>Enterprise Value</t>
  </si>
  <si>
    <t>VALUATION SUMMARY</t>
  </si>
  <si>
    <t>Item</t>
  </si>
  <si>
    <t>Value</t>
  </si>
  <si>
    <t>Less: Net Debt</t>
  </si>
  <si>
    <t>Equity Value</t>
  </si>
  <si>
    <t>Shares Outstanding</t>
  </si>
  <si>
    <t>Intrinsic Value per Share</t>
  </si>
  <si>
    <t>Current Market Price</t>
  </si>
  <si>
    <t>Upside/ Downside</t>
  </si>
  <si>
    <t>Financial Statement Analysis &amp; Valuation – DCF Model (₹ Crores)</t>
  </si>
  <si>
    <t>Source/ Basis</t>
  </si>
  <si>
    <t>Growth Rate</t>
  </si>
  <si>
    <t>Tax Expense</t>
  </si>
  <si>
    <t>Capital Expenditure (CapEx)</t>
  </si>
  <si>
    <t>Helper Calculations</t>
  </si>
  <si>
    <t>Revenue growth</t>
  </si>
  <si>
    <t>Values</t>
  </si>
  <si>
    <t>FY2022</t>
  </si>
  <si>
    <t>FY2023</t>
  </si>
  <si>
    <t>FY2024</t>
  </si>
  <si>
    <t>FY2025</t>
  </si>
  <si>
    <t>FY2026</t>
  </si>
  <si>
    <t>EBIT for 2021</t>
  </si>
  <si>
    <t>Sales</t>
  </si>
  <si>
    <t>Expenses</t>
  </si>
  <si>
    <t>Operating Profit</t>
  </si>
  <si>
    <t>Other Income</t>
  </si>
  <si>
    <t>Interest</t>
  </si>
  <si>
    <t>Profit before tax</t>
  </si>
  <si>
    <t>Net profit</t>
  </si>
  <si>
    <t>EPS</t>
  </si>
  <si>
    <t>BALANCE SHEET</t>
  </si>
  <si>
    <t>Cash from Operating Activity</t>
  </si>
  <si>
    <t>Cash from Investing Activity</t>
  </si>
  <si>
    <t>Cash from Financing Activity</t>
  </si>
  <si>
    <t>Net Cash Flow</t>
  </si>
  <si>
    <t>Equity Share Capital</t>
  </si>
  <si>
    <t>Reserves</t>
  </si>
  <si>
    <t>Borrowings</t>
  </si>
  <si>
    <t>Other Liabilities</t>
  </si>
  <si>
    <t>Total</t>
  </si>
  <si>
    <t>Net Block</t>
  </si>
  <si>
    <t>Capital Work in Progress</t>
  </si>
  <si>
    <t>Investments</t>
  </si>
  <si>
    <t>Other Assets</t>
  </si>
  <si>
    <t>Working Capital</t>
  </si>
  <si>
    <t>Debtors</t>
  </si>
  <si>
    <t>Inventory</t>
  </si>
  <si>
    <t>Receivables</t>
  </si>
  <si>
    <t>Cash &amp; Bank</t>
  </si>
  <si>
    <t>No. of Equity Shares</t>
  </si>
  <si>
    <t>Face value</t>
  </si>
  <si>
    <t>CASH FLOW</t>
  </si>
  <si>
    <t>Debtor Days</t>
  </si>
  <si>
    <t>Shareholders' Equity + Borrowings</t>
  </si>
  <si>
    <t>CASH FLOW RATIOS</t>
  </si>
  <si>
    <t>Operating Cash Flow to Net Profit</t>
  </si>
  <si>
    <t>Operating Cash Flow Margin</t>
  </si>
  <si>
    <t>MARKET/ SHAREHOLDER RATIOS</t>
  </si>
  <si>
    <t>EPS Growth</t>
  </si>
  <si>
    <t>Cash from Operating Activity ÷ Sales</t>
  </si>
  <si>
    <t>Cash from Operating Activity ÷ Net Profit</t>
  </si>
  <si>
    <t>(Current EPS - Prior EPS) ÷ Prior EPS</t>
  </si>
  <si>
    <t>Receivables ÷ Sales x 365</t>
  </si>
  <si>
    <t>EPS declined by 25.18% in FY2022 compared with FY2021. However, EPS growth recovered strongly thereafter, reaching 27.51% in FY2024. Growth remained positive in FY2025 and FY2026 at 15.10% and 6.93% respectively, indicating continued growth in earnings per share, although the growth rate has moderated in recent years.</t>
  </si>
  <si>
    <t>Operating Cash Flow Margin was relatively strong at around 12% during FY2022–FY2023 but declined to 3.58% in FY2025. It recovered to 5.86% in FY2026, indicating an improvement in operating cash generation, although the margin remained below its FY2022–FY2023 levels.</t>
  </si>
  <si>
    <t>The Operating Cash Flow to Net Profit Ratio showed significant fluctuations during FY2022–FY2026. It declined from 2.21x in FY2022 to 0.61x in FY2025 before recovering to 1.04x in FY2026. The FY2026 ratio indicates that operating cash flow was slightly higher than reported net profit, although the overall trend shows volatility in cash conversion.</t>
  </si>
  <si>
    <t>Debtor Days declined significantly from 107.59 days in FY2022 to 77.20 days in FY2026, indicating an overall improvement in the collection of receivables and working capital efficiency. Although the ratio increased slightly in FY2026 compared with FY2025, the overall trend remains positive.</t>
  </si>
  <si>
    <t>The Fixed Asset Turnover Ratio increased significantly from 3.64x in FY2022 to 9.26x in FY2026, indicating that the company generated substantially more sales relative to its net fixed asset base. However, the sharp increase in FY2026 was also influenced by a significant reduction in net block, so the increase should be interpreted with caution.</t>
  </si>
  <si>
    <t>The Asset Turnover Ratio increased from 0.49x in FY2022 to 0.63x in FY2026, indicating an overall improvement in the company's ability to generate sales from its asset base. However, the ratio declined slightly from 0.67x in FY2025 to 0.63x in FY2026.</t>
  </si>
  <si>
    <t>The Debt Ratio declined from 39.34% in FY2022 to 27.74% in FY2026, indicating that the proportion of total assets financed through borrowings has decreased. Although the ratio remained above 30% during FY2022–FY2025, it fell below 30% in FY2026, indicating lower financial leverage.</t>
  </si>
  <si>
    <t>The Interest Coverage Ratio improved consistently from 2.89x in FY2022 to 4.02x in FY2026. This indicates that L&amp;T's ability to cover its interest expenses from operating earnings has strengthened, reducing the pressure of interest costs on the company.</t>
  </si>
  <si>
    <t>The Debt-to-Equity Ratio declined from 1.52x in FY2022 to 1.15x in FY2026, indicating a reduction in the company's dependence on borrowings relative to shareholders' equity. The lower ratio in FY2026 suggests an improvement in the company's overall financial leverage.</t>
  </si>
  <si>
    <t>ROCE increased from 12.83% in FY2022 to 17.21% in FY2026, indicating an overall improvement in L&amp;T's ability to generate operating returns from the capital employed in the business. This suggests improved efficiency in utilizing both shareholders' funds and borrowed capital.</t>
  </si>
  <si>
    <t>ROA increased from 2.72% in FY2022 to 3.56% in FY2026, indicating an overall improvement in the company's ability to generate net profit from its asset base. The ratio peaked at 3.97% in FY2025 before declining slightly in FY2026.</t>
  </si>
  <si>
    <t>ROE increased from 10.52% in FY2022 to 14.72% in FY2026, indicating an overall improvement in the company's ability to generate profit from shareholders' equity. Although ROE declined slightly from 15.40% in FY2025, it remained significantly higher than the FY2022 level.</t>
  </si>
  <si>
    <t>Net Profit Margin remained relatively stable during FY2022–FY2026, ranging between 5.54% and 5.91%. This indicates that L&amp;T was able to maintain a fairly consistent level of net profitability despite fluctuations in sales, expenses and other income.</t>
  </si>
  <si>
    <t>Operating Profit Margin declined from 15.53% in FY2022 to 12.39% in FY2026, indicating that operating costs increased faster than sales over the period. Although the margin improved slightly in FY2025, it declined again in FY2026, suggesting some pressure on operating profitability.</t>
  </si>
  <si>
    <t>Average FY2022–FY2026 historical growth</t>
  </si>
  <si>
    <t>Average FY2022–FY2026 historical margin</t>
  </si>
  <si>
    <t>Average FY2022–FY2026 effective tax rate</t>
  </si>
  <si>
    <t>Assumption:</t>
  </si>
  <si>
    <t>Average FY2022–FY2026 depreciation</t>
  </si>
  <si>
    <t>Assumption</t>
  </si>
  <si>
    <t>Financial Statement Analysis &amp; Valuation - Sensitivity Analysis (Crores)</t>
  </si>
  <si>
    <t>WACC/ Terminal Growth</t>
  </si>
  <si>
    <t>INTRINSIC VALUE PER SHARE</t>
  </si>
  <si>
    <t>Notes</t>
  </si>
  <si>
    <t>Financial Statement Analysis &amp; Valuation - Charts</t>
  </si>
  <si>
    <t>Based on the DCF model, L&amp;T's estimated intrinsic value per share is ₹4,802.43 under the base-case assumptions of 10% WACC and 4% terminal growth. The sensitivity analysis indicates that the valuation is positively affected by higher terminal growth and negatively affected by higher WACC.</t>
  </si>
  <si>
    <t>J</t>
  </si>
  <si>
    <t>K</t>
  </si>
  <si>
    <t>Year</t>
  </si>
  <si>
    <t>Net Profit</t>
  </si>
  <si>
    <t>OPM</t>
  </si>
  <si>
    <t>NPM</t>
  </si>
  <si>
    <t>Debt-to-Equity</t>
  </si>
  <si>
    <t>Interest Coverage</t>
  </si>
  <si>
    <t>Valuation</t>
  </si>
  <si>
    <t>₹/Share</t>
  </si>
  <si>
    <t>DCF Intrinsic Value</t>
  </si>
  <si>
    <t>Pandya Harsh Priyank</t>
  </si>
  <si>
    <t>Parul University</t>
  </si>
  <si>
    <t>Prayag Sir</t>
  </si>
  <si>
    <t>Financial Data used in this workbook has been compiled from publicly available sources and analysed for academic purposes only</t>
  </si>
  <si>
    <t>Larsen &amp; Toubro Ltd.</t>
  </si>
  <si>
    <t>Sensitivity analysis evaluates how changes in key DCF assumptions affect the estimated intrinsic value per share</t>
  </si>
  <si>
    <t>Higher WACC generally reduces the present value of future cash flows, while higher terminal growth generally increases the estimated intrinsic value per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</si>
</sst>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18">
    <font>
      <sz val="11"/>
      <color theme="1"/>
      <name val="Aptos Narrow"/>
      <family val="2"/>
      <scheme val="minor"/>
    </font>
    <font>
      <sz val="11"/>
      <color theme="1"/>
      <name val="Aptos Narrow"/>
      <family val="2"/>
      <scheme val="minor"/>
    </font>
    <font>
      <sz val="11"/>
      <color theme="1"/>
      <name val="Calibri"/>
      <family val="2"/>
    </font>
    <font>
      <b/>
      <sz val="20"/>
      <color theme="0"/>
      <name val="Calibri"/>
      <family val="2"/>
    </font>
    <font>
      <b/>
      <sz val="18"/>
      <color theme="0"/>
      <name val="Calibri"/>
      <family val="2"/>
    </font>
    <font>
      <b/>
      <sz val="11"/>
      <color theme="0"/>
      <name val="Calibri"/>
      <family val="2"/>
    </font>
    <font>
      <b/>
      <sz val="11"/>
      <color theme="1"/>
      <name val="Calibri"/>
      <family val="2"/>
    </font>
    <font>
      <b/>
      <sz val="14"/>
      <color theme="0"/>
      <name val="Calibri"/>
      <family val="2"/>
    </font>
    <font>
      <b/>
      <sz val="12"/>
      <color theme="0"/>
      <name val="Calibri"/>
      <family val="2"/>
    </font>
    <font>
      <b/>
      <sz val="14"/>
      <color theme="3" tint="0.249977111117893"/>
      <name val="Calibri"/>
      <family val="2"/>
    </font>
    <font>
      <b/>
      <i/>
      <sz val="11"/>
      <color theme="1" tint="0.499984740745262"/>
      <name val="Calibri"/>
      <family val="2"/>
    </font>
    <font>
      <sz val="8"/>
      <name val="Aptos Narrow"/>
      <family val="2"/>
      <scheme val="minor"/>
    </font>
    <font>
      <b/>
      <sz val="11"/>
      <color theme="1"/>
      <name val="Aptos Narrow"/>
      <family val="2"/>
      <scheme val="minor"/>
    </font>
    <font>
      <sz val="11"/>
      <color theme="0"/>
      <name val="Calibri"/>
      <family val="2"/>
    </font>
    <font>
      <i/>
      <sz val="11"/>
      <color theme="1"/>
      <name val="Calibri"/>
      <family val="2"/>
    </font>
    <font>
      <sz val="10"/>
      <color theme="1"/>
      <name val="Arial Unicode MS"/>
    </font>
    <font>
      <sz val="14"/>
      <color theme="0"/>
      <name val="Calibri"/>
      <family val="2"/>
    </font>
    <font>
      <sz val="12"/>
      <color theme="0"/>
      <name val="Calibri"/>
      <family val="2"/>
    </font>
  </fonts>
  <fills count="9">
    <fill>
      <patternFill patternType="none"/>
    </fill>
    <fill>
      <patternFill patternType="gray125"/>
    </fill>
    <fill>
      <patternFill patternType="solid">
        <fgColor theme="3" tint="0.249977111117893"/>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79998168889431442"/>
        <bgColor indexed="64"/>
      </patternFill>
    </fill>
  </fills>
  <borders count="43">
    <border>
      <left/>
      <right/>
      <top/>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medium">
        <color indexed="64"/>
      </left>
      <right style="medium">
        <color theme="2" tint="-9.9948118533890809E-2"/>
      </right>
      <top style="medium">
        <color indexed="64"/>
      </top>
      <bottom style="medium">
        <color theme="2" tint="-9.9948118533890809E-2"/>
      </bottom>
      <diagonal/>
    </border>
    <border>
      <left style="medium">
        <color theme="2" tint="-9.9948118533890809E-2"/>
      </left>
      <right style="medium">
        <color theme="2" tint="-9.9948118533890809E-2"/>
      </right>
      <top style="medium">
        <color indexed="64"/>
      </top>
      <bottom style="medium">
        <color theme="2" tint="-9.9948118533890809E-2"/>
      </bottom>
      <diagonal/>
    </border>
    <border>
      <left style="medium">
        <color theme="2" tint="-9.9948118533890809E-2"/>
      </left>
      <right style="medium">
        <color indexed="64"/>
      </right>
      <top style="medium">
        <color indexed="64"/>
      </top>
      <bottom style="medium">
        <color theme="2" tint="-9.9948118533890809E-2"/>
      </bottom>
      <diagonal/>
    </border>
    <border>
      <left style="medium">
        <color indexed="64"/>
      </left>
      <right style="medium">
        <color theme="2" tint="-9.9948118533890809E-2"/>
      </right>
      <top style="medium">
        <color theme="2" tint="-9.9948118533890809E-2"/>
      </top>
      <bottom style="medium">
        <color theme="2" tint="-9.9948118533890809E-2"/>
      </bottom>
      <diagonal/>
    </border>
    <border>
      <left style="medium">
        <color theme="2" tint="-9.9948118533890809E-2"/>
      </left>
      <right style="medium">
        <color theme="2" tint="-9.9948118533890809E-2"/>
      </right>
      <top style="medium">
        <color theme="2" tint="-9.9948118533890809E-2"/>
      </top>
      <bottom style="medium">
        <color theme="2" tint="-9.9948118533890809E-2"/>
      </bottom>
      <diagonal/>
    </border>
    <border>
      <left style="medium">
        <color theme="2" tint="-9.9948118533890809E-2"/>
      </left>
      <right style="medium">
        <color indexed="64"/>
      </right>
      <top style="medium">
        <color theme="2" tint="-9.9948118533890809E-2"/>
      </top>
      <bottom style="medium">
        <color theme="2" tint="-9.9948118533890809E-2"/>
      </bottom>
      <diagonal/>
    </border>
    <border>
      <left style="medium">
        <color indexed="64"/>
      </left>
      <right style="medium">
        <color theme="2" tint="-9.9948118533890809E-2"/>
      </right>
      <top style="medium">
        <color theme="2" tint="-9.9948118533890809E-2"/>
      </top>
      <bottom style="medium">
        <color indexed="64"/>
      </bottom>
      <diagonal/>
    </border>
    <border>
      <left style="medium">
        <color theme="2" tint="-9.9948118533890809E-2"/>
      </left>
      <right style="medium">
        <color theme="2" tint="-9.9948118533890809E-2"/>
      </right>
      <top style="medium">
        <color theme="2" tint="-9.9948118533890809E-2"/>
      </top>
      <bottom style="medium">
        <color indexed="64"/>
      </bottom>
      <diagonal/>
    </border>
    <border>
      <left style="medium">
        <color theme="2" tint="-9.9948118533890809E-2"/>
      </left>
      <right style="medium">
        <color indexed="64"/>
      </right>
      <top style="medium">
        <color theme="2" tint="-9.9948118533890809E-2"/>
      </top>
      <bottom style="medium">
        <color indexed="64"/>
      </bottom>
      <diagonal/>
    </border>
    <border>
      <left style="medium">
        <color indexed="64"/>
      </left>
      <right style="medium">
        <color theme="2" tint="-9.9948118533890809E-2"/>
      </right>
      <top style="medium">
        <color indexed="64"/>
      </top>
      <bottom style="medium">
        <color indexed="64"/>
      </bottom>
      <diagonal/>
    </border>
    <border>
      <left style="medium">
        <color theme="2" tint="-9.9948118533890809E-2"/>
      </left>
      <right style="medium">
        <color theme="2" tint="-9.9948118533890809E-2"/>
      </right>
      <top style="medium">
        <color indexed="64"/>
      </top>
      <bottom style="medium">
        <color indexed="64"/>
      </bottom>
      <diagonal/>
    </border>
    <border>
      <left style="medium">
        <color theme="2" tint="-9.9948118533890809E-2"/>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theme="2" tint="-9.9948118533890809E-2"/>
      </bottom>
      <diagonal/>
    </border>
    <border>
      <left/>
      <right/>
      <top style="medium">
        <color indexed="64"/>
      </top>
      <bottom style="medium">
        <color theme="2" tint="-9.9948118533890809E-2"/>
      </bottom>
      <diagonal/>
    </border>
    <border>
      <left/>
      <right style="medium">
        <color indexed="64"/>
      </right>
      <top style="medium">
        <color indexed="64"/>
      </top>
      <bottom style="medium">
        <color theme="2" tint="-9.9948118533890809E-2"/>
      </bottom>
      <diagonal/>
    </border>
    <border>
      <left style="medium">
        <color theme="2" tint="-9.9948118533890809E-2"/>
      </left>
      <right/>
      <top style="medium">
        <color theme="2" tint="-9.9948118533890809E-2"/>
      </top>
      <bottom style="medium">
        <color theme="2" tint="-9.9948118533890809E-2"/>
      </bottom>
      <diagonal/>
    </border>
    <border>
      <left/>
      <right/>
      <top style="medium">
        <color theme="2" tint="-9.9948118533890809E-2"/>
      </top>
      <bottom style="medium">
        <color theme="2" tint="-9.9948118533890809E-2"/>
      </bottom>
      <diagonal/>
    </border>
    <border>
      <left/>
      <right style="medium">
        <color indexed="64"/>
      </right>
      <top style="medium">
        <color theme="2" tint="-9.9948118533890809E-2"/>
      </top>
      <bottom style="medium">
        <color theme="2" tint="-9.9948118533890809E-2"/>
      </bottom>
      <diagonal/>
    </border>
    <border>
      <left style="medium">
        <color theme="2" tint="-9.9948118533890809E-2"/>
      </left>
      <right/>
      <top style="medium">
        <color theme="2" tint="-9.9948118533890809E-2"/>
      </top>
      <bottom/>
      <diagonal/>
    </border>
    <border>
      <left/>
      <right/>
      <top style="medium">
        <color theme="2" tint="-9.9948118533890809E-2"/>
      </top>
      <bottom/>
      <diagonal/>
    </border>
    <border>
      <left/>
      <right style="medium">
        <color indexed="64"/>
      </right>
      <top style="medium">
        <color theme="2" tint="-9.9948118533890809E-2"/>
      </top>
      <bottom/>
      <diagonal/>
    </border>
    <border>
      <left style="medium">
        <color theme="2" tint="-9.9948118533890809E-2"/>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theme="2" tint="-9.9948118533890809E-2"/>
      </right>
      <top/>
      <bottom style="medium">
        <color theme="2" tint="-9.9948118533890809E-2"/>
      </bottom>
      <diagonal/>
    </border>
    <border>
      <left style="medium">
        <color theme="2" tint="-9.9948118533890809E-2"/>
      </left>
      <right style="medium">
        <color theme="2" tint="-9.9948118533890809E-2"/>
      </right>
      <top/>
      <bottom style="medium">
        <color theme="2" tint="-9.9948118533890809E-2"/>
      </bottom>
      <diagonal/>
    </border>
    <border>
      <left style="medium">
        <color theme="2" tint="-9.9948118533890809E-2"/>
      </left>
      <right style="medium">
        <color indexed="64"/>
      </right>
      <top/>
      <bottom style="medium">
        <color theme="2" tint="-9.9948118533890809E-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03">
    <xf numFmtId="0" fontId="0" fillId="0" borderId="0" xfId="0"/>
    <xf numFmtId="0" fontId="2" fillId="0" borderId="0" xfId="0" applyFont="1" applyAlignment="1">
      <alignment horizontal="center"/>
    </xf>
    <xf numFmtId="0" fontId="2" fillId="0" borderId="0" xfId="0" applyFont="1"/>
    <xf numFmtId="0" fontId="5" fillId="0" borderId="0" xfId="0" applyFont="1" applyAlignment="1">
      <alignment vertical="center"/>
    </xf>
    <xf numFmtId="0" fontId="6" fillId="0" borderId="0" xfId="0" applyFont="1" applyAlignment="1">
      <alignment horizontal="center" vertical="center" wrapText="1"/>
    </xf>
    <xf numFmtId="17" fontId="6" fillId="0" borderId="0" xfId="0" applyNumberFormat="1" applyFont="1" applyAlignment="1">
      <alignment horizontal="right" vertical="center" wrapText="1"/>
    </xf>
    <xf numFmtId="0" fontId="6"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right" vertical="center" wrapText="1"/>
    </xf>
    <xf numFmtId="0" fontId="2"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1" fontId="2" fillId="0" borderId="0" xfId="0" applyNumberFormat="1" applyFont="1" applyAlignment="1">
      <alignment vertical="center"/>
    </xf>
    <xf numFmtId="0" fontId="2" fillId="0" borderId="12" xfId="0" applyFont="1" applyBorder="1"/>
    <xf numFmtId="10" fontId="2" fillId="0" borderId="13" xfId="0" applyNumberFormat="1" applyFont="1" applyBorder="1"/>
    <xf numFmtId="10" fontId="2" fillId="0" borderId="14" xfId="0" applyNumberFormat="1" applyFont="1" applyBorder="1"/>
    <xf numFmtId="0" fontId="2" fillId="0" borderId="15" xfId="0" applyFont="1" applyBorder="1"/>
    <xf numFmtId="10" fontId="2" fillId="0" borderId="16" xfId="0" applyNumberFormat="1" applyFont="1" applyBorder="1"/>
    <xf numFmtId="0" fontId="8" fillId="3" borderId="9" xfId="0" applyFont="1" applyFill="1" applyBorder="1"/>
    <xf numFmtId="0" fontId="8" fillId="3" borderId="10" xfId="0" applyFont="1" applyFill="1" applyBorder="1"/>
    <xf numFmtId="0" fontId="8" fillId="3" borderId="11" xfId="0" applyFont="1" applyFill="1" applyBorder="1"/>
    <xf numFmtId="0" fontId="6" fillId="8" borderId="12" xfId="0" applyFont="1" applyFill="1" applyBorder="1"/>
    <xf numFmtId="0" fontId="6" fillId="8" borderId="13" xfId="0" applyFont="1" applyFill="1" applyBorder="1"/>
    <xf numFmtId="0" fontId="6" fillId="8" borderId="14" xfId="0" applyFont="1" applyFill="1" applyBorder="1"/>
    <xf numFmtId="0" fontId="6" fillId="0" borderId="12" xfId="0" applyFont="1" applyBorder="1"/>
    <xf numFmtId="0" fontId="2" fillId="0" borderId="13" xfId="0" applyFont="1" applyBorder="1"/>
    <xf numFmtId="0" fontId="2" fillId="0" borderId="14" xfId="0" applyFont="1" applyBorder="1"/>
    <xf numFmtId="0" fontId="6" fillId="7" borderId="12" xfId="0" applyFont="1" applyFill="1" applyBorder="1"/>
    <xf numFmtId="0" fontId="2" fillId="7" borderId="13" xfId="0" applyFont="1" applyFill="1" applyBorder="1"/>
    <xf numFmtId="0" fontId="2" fillId="7" borderId="14" xfId="0" applyFont="1" applyFill="1" applyBorder="1"/>
    <xf numFmtId="0" fontId="2" fillId="0" borderId="16" xfId="0" applyFont="1" applyBorder="1"/>
    <xf numFmtId="0" fontId="2" fillId="0" borderId="17" xfId="0" applyFont="1" applyBorder="1"/>
    <xf numFmtId="0" fontId="2" fillId="7" borderId="12" xfId="0" applyFont="1" applyFill="1" applyBorder="1"/>
    <xf numFmtId="0" fontId="6" fillId="7" borderId="15" xfId="0" applyFont="1" applyFill="1" applyBorder="1"/>
    <xf numFmtId="0" fontId="2" fillId="7" borderId="17" xfId="0" applyFont="1" applyFill="1" applyBorder="1"/>
    <xf numFmtId="0" fontId="7" fillId="4" borderId="18" xfId="0" applyFont="1" applyFill="1" applyBorder="1" applyAlignment="1">
      <alignment vertical="center"/>
    </xf>
    <xf numFmtId="0" fontId="7" fillId="4" borderId="19" xfId="0" applyFont="1" applyFill="1" applyBorder="1" applyAlignment="1">
      <alignment horizontal="center" vertical="center"/>
    </xf>
    <xf numFmtId="0" fontId="7" fillId="4" borderId="20" xfId="0" applyFont="1" applyFill="1" applyBorder="1" applyAlignment="1">
      <alignment vertical="center"/>
    </xf>
    <xf numFmtId="17" fontId="7" fillId="4" borderId="19" xfId="0" applyNumberFormat="1" applyFont="1" applyFill="1" applyBorder="1" applyAlignment="1">
      <alignment horizontal="center" vertical="center"/>
    </xf>
    <xf numFmtId="10" fontId="2" fillId="0" borderId="13" xfId="1" applyNumberFormat="1" applyFont="1" applyBorder="1" applyAlignment="1"/>
    <xf numFmtId="0" fontId="2" fillId="0" borderId="14" xfId="0" applyFont="1" applyBorder="1" applyAlignment="1">
      <alignment vertical="top" wrapText="1"/>
    </xf>
    <xf numFmtId="10" fontId="2" fillId="0" borderId="16" xfId="1" applyNumberFormat="1" applyFont="1" applyBorder="1" applyAlignment="1"/>
    <xf numFmtId="0" fontId="2" fillId="0" borderId="12" xfId="0" applyFont="1" applyBorder="1" applyAlignment="1">
      <alignment wrapText="1"/>
    </xf>
    <xf numFmtId="2" fontId="2" fillId="0" borderId="13" xfId="0" applyNumberFormat="1" applyFont="1" applyBorder="1" applyAlignment="1">
      <alignment wrapText="1"/>
    </xf>
    <xf numFmtId="0" fontId="2" fillId="0" borderId="15" xfId="0" applyFont="1" applyBorder="1" applyAlignment="1">
      <alignment wrapText="1"/>
    </xf>
    <xf numFmtId="2" fontId="2" fillId="0" borderId="16" xfId="0" applyNumberFormat="1" applyFont="1" applyBorder="1" applyAlignment="1">
      <alignment wrapText="1"/>
    </xf>
    <xf numFmtId="2" fontId="2" fillId="0" borderId="13" xfId="0" applyNumberFormat="1" applyFont="1" applyBorder="1"/>
    <xf numFmtId="2" fontId="2" fillId="0" borderId="16" xfId="0" applyNumberFormat="1" applyFont="1" applyBorder="1"/>
    <xf numFmtId="0" fontId="0" fillId="0" borderId="12" xfId="0" applyBorder="1"/>
    <xf numFmtId="0" fontId="2" fillId="0" borderId="18" xfId="0" applyFont="1" applyBorder="1"/>
    <xf numFmtId="2" fontId="2" fillId="0" borderId="20" xfId="0" applyNumberFormat="1" applyFont="1" applyBorder="1" applyAlignment="1">
      <alignment horizontal="center"/>
    </xf>
    <xf numFmtId="0" fontId="6" fillId="0" borderId="0" xfId="0" applyFont="1" applyAlignment="1">
      <alignment horizontal="left" vertical="center"/>
    </xf>
    <xf numFmtId="0" fontId="8" fillId="3" borderId="0" xfId="0" applyFont="1" applyFill="1" applyAlignment="1">
      <alignment horizontal="left" vertical="center"/>
    </xf>
    <xf numFmtId="0" fontId="2" fillId="0" borderId="0" xfId="0" applyFont="1" applyAlignment="1">
      <alignment horizontal="left" vertical="center"/>
    </xf>
    <xf numFmtId="0" fontId="7" fillId="0" borderId="0" xfId="0" applyFont="1" applyAlignment="1">
      <alignment horizontal="center" vertical="center"/>
    </xf>
    <xf numFmtId="17" fontId="7" fillId="0" borderId="0" xfId="0" applyNumberFormat="1" applyFont="1" applyAlignment="1">
      <alignment horizontal="center" vertical="center"/>
    </xf>
    <xf numFmtId="0" fontId="8" fillId="3" borderId="9" xfId="0" applyFont="1" applyFill="1" applyBorder="1" applyAlignment="1">
      <alignment horizontal="left" vertical="center"/>
    </xf>
    <xf numFmtId="0" fontId="2" fillId="0" borderId="0" xfId="0" applyFont="1" applyAlignment="1">
      <alignment horizontal="left" vertical="center" indent="1"/>
    </xf>
    <xf numFmtId="0" fontId="7" fillId="4" borderId="18" xfId="0" applyFont="1" applyFill="1" applyBorder="1" applyAlignment="1">
      <alignment horizontal="left" vertical="center"/>
    </xf>
    <xf numFmtId="0" fontId="5" fillId="3" borderId="9" xfId="0" applyFont="1" applyFill="1" applyBorder="1" applyAlignment="1">
      <alignment horizontal="left" vertical="center" indent="1"/>
    </xf>
    <xf numFmtId="0" fontId="12" fillId="0" borderId="12" xfId="0" applyFont="1" applyBorder="1"/>
    <xf numFmtId="0" fontId="2" fillId="0" borderId="12" xfId="0" applyFont="1" applyBorder="1" applyAlignment="1">
      <alignment horizontal="left" vertical="center"/>
    </xf>
    <xf numFmtId="43" fontId="1" fillId="0" borderId="12" xfId="2" applyFont="1" applyBorder="1"/>
    <xf numFmtId="43" fontId="0" fillId="0" borderId="12" xfId="2" applyFont="1" applyBorder="1"/>
    <xf numFmtId="43" fontId="0" fillId="0" borderId="15" xfId="2" applyFont="1" applyBorder="1"/>
    <xf numFmtId="0" fontId="5" fillId="3" borderId="9" xfId="0" applyFont="1" applyFill="1" applyBorder="1" applyAlignment="1">
      <alignment horizontal="left" vertical="center"/>
    </xf>
    <xf numFmtId="0" fontId="12" fillId="0" borderId="15" xfId="0" applyFont="1" applyBorder="1"/>
    <xf numFmtId="0" fontId="2" fillId="0" borderId="13" xfId="0" applyFont="1" applyBorder="1" applyAlignment="1">
      <alignment horizontal="center" wrapText="1"/>
    </xf>
    <xf numFmtId="0" fontId="2" fillId="0" borderId="16" xfId="0" applyFont="1" applyBorder="1" applyAlignment="1">
      <alignment horizontal="center" wrapText="1"/>
    </xf>
    <xf numFmtId="0" fontId="2" fillId="0" borderId="12" xfId="0" applyFont="1" applyBorder="1" applyAlignment="1">
      <alignment vertical="center"/>
    </xf>
    <xf numFmtId="10" fontId="2" fillId="0" borderId="13" xfId="0" applyNumberFormat="1" applyFont="1" applyBorder="1" applyAlignment="1">
      <alignment vertical="center"/>
    </xf>
    <xf numFmtId="0" fontId="2" fillId="0" borderId="15" xfId="0" applyFont="1" applyBorder="1" applyAlignment="1">
      <alignment vertical="center"/>
    </xf>
    <xf numFmtId="10" fontId="2" fillId="0" borderId="16" xfId="0" applyNumberFormat="1" applyFont="1" applyBorder="1" applyAlignment="1">
      <alignment vertical="center"/>
    </xf>
    <xf numFmtId="0" fontId="2" fillId="0" borderId="17" xfId="0" applyFont="1" applyBorder="1" applyAlignment="1">
      <alignment wrapText="1"/>
    </xf>
    <xf numFmtId="0" fontId="2" fillId="0" borderId="17" xfId="0" applyFont="1" applyBorder="1" applyAlignment="1">
      <alignment vertical="center" wrapText="1"/>
    </xf>
    <xf numFmtId="0" fontId="2" fillId="0" borderId="14" xfId="0" applyFont="1" applyBorder="1" applyAlignment="1">
      <alignment vertical="center" wrapText="1"/>
    </xf>
    <xf numFmtId="0" fontId="2" fillId="0" borderId="14" xfId="0" applyFont="1" applyBorder="1" applyAlignment="1">
      <alignment wrapText="1"/>
    </xf>
    <xf numFmtId="10" fontId="2" fillId="0" borderId="13" xfId="0" applyNumberFormat="1" applyFont="1" applyBorder="1" applyAlignment="1">
      <alignment horizontal="left"/>
    </xf>
    <xf numFmtId="9" fontId="2" fillId="0" borderId="13" xfId="0" applyNumberFormat="1" applyFont="1" applyBorder="1" applyAlignment="1">
      <alignment horizontal="left"/>
    </xf>
    <xf numFmtId="9" fontId="2" fillId="0" borderId="16" xfId="0" applyNumberFormat="1" applyFont="1" applyBorder="1" applyAlignment="1">
      <alignment horizontal="left"/>
    </xf>
    <xf numFmtId="2" fontId="2" fillId="7" borderId="13" xfId="0" applyNumberFormat="1" applyFont="1" applyFill="1" applyBorder="1"/>
    <xf numFmtId="0" fontId="8" fillId="8" borderId="9" xfId="0" applyFont="1" applyFill="1" applyBorder="1" applyAlignment="1">
      <alignment horizontal="left" vertical="center"/>
    </xf>
    <xf numFmtId="0" fontId="8" fillId="8" borderId="10" xfId="0" applyFont="1" applyFill="1" applyBorder="1" applyAlignment="1">
      <alignment horizontal="center" vertical="center"/>
    </xf>
    <xf numFmtId="0" fontId="8" fillId="8" borderId="11" xfId="0" applyFont="1" applyFill="1" applyBorder="1" applyAlignment="1">
      <alignment horizontal="center" vertical="center"/>
    </xf>
    <xf numFmtId="2" fontId="2" fillId="7" borderId="16" xfId="0" applyNumberFormat="1" applyFont="1" applyFill="1" applyBorder="1"/>
    <xf numFmtId="2" fontId="2" fillId="0" borderId="14" xfId="0" applyNumberFormat="1" applyFont="1" applyBorder="1"/>
    <xf numFmtId="0" fontId="14" fillId="0" borderId="0" xfId="0" applyFont="1" applyAlignment="1">
      <alignment horizontal="center"/>
    </xf>
    <xf numFmtId="0" fontId="7" fillId="0" borderId="0" xfId="0" applyFont="1" applyAlignment="1">
      <alignment vertical="center"/>
    </xf>
    <xf numFmtId="9" fontId="8" fillId="3" borderId="12" xfId="0" applyNumberFormat="1" applyFont="1" applyFill="1" applyBorder="1" applyAlignment="1">
      <alignment horizontal="center" vertical="center"/>
    </xf>
    <xf numFmtId="9" fontId="8" fillId="3" borderId="15" xfId="0" applyNumberFormat="1" applyFont="1" applyFill="1" applyBorder="1" applyAlignment="1">
      <alignment horizontal="center" vertical="center"/>
    </xf>
    <xf numFmtId="0" fontId="13" fillId="0" borderId="0" xfId="0" applyFont="1"/>
    <xf numFmtId="2" fontId="2" fillId="0" borderId="13" xfId="0" applyNumberFormat="1" applyFont="1" applyBorder="1" applyAlignment="1">
      <alignment horizontal="center" vertical="center"/>
    </xf>
    <xf numFmtId="0" fontId="12" fillId="0" borderId="33" xfId="0" applyFont="1" applyBorder="1" applyAlignment="1">
      <alignment horizontal="center" vertical="center" wrapText="1"/>
    </xf>
    <xf numFmtId="0" fontId="12" fillId="0" borderId="33" xfId="0" applyFont="1" applyBorder="1" applyAlignment="1">
      <alignment horizontal="right" vertical="center" wrapText="1"/>
    </xf>
    <xf numFmtId="0" fontId="0" fillId="0" borderId="33" xfId="0" applyBorder="1" applyAlignment="1">
      <alignment vertical="center" wrapText="1"/>
    </xf>
    <xf numFmtId="0" fontId="0" fillId="0" borderId="33" xfId="0" applyBorder="1" applyAlignment="1">
      <alignment horizontal="right" vertical="center" wrapText="1"/>
    </xf>
    <xf numFmtId="0" fontId="15" fillId="0" borderId="33" xfId="0" applyFont="1" applyBorder="1" applyAlignment="1">
      <alignment horizontal="right" vertical="center" wrapText="1"/>
    </xf>
    <xf numFmtId="10" fontId="0" fillId="0" borderId="33" xfId="0" applyNumberFormat="1" applyBorder="1" applyAlignment="1">
      <alignment horizontal="right" vertical="center" wrapText="1"/>
    </xf>
    <xf numFmtId="2" fontId="0" fillId="0" borderId="33" xfId="0" applyNumberFormat="1" applyBorder="1" applyAlignment="1">
      <alignment horizontal="right" vertical="center" wrapText="1"/>
    </xf>
    <xf numFmtId="2" fontId="15" fillId="0" borderId="33" xfId="0" applyNumberFormat="1" applyFont="1" applyBorder="1" applyAlignment="1">
      <alignment horizontal="right" vertical="center" wrapText="1"/>
    </xf>
    <xf numFmtId="2" fontId="2" fillId="0" borderId="0" xfId="0" applyNumberFormat="1" applyFont="1" applyAlignment="1">
      <alignment vertical="center" wrapText="1"/>
    </xf>
    <xf numFmtId="0" fontId="2" fillId="0" borderId="13" xfId="0" applyFont="1" applyBorder="1" applyAlignment="1">
      <alignment horizontal="center" vertical="center"/>
    </xf>
    <xf numFmtId="2" fontId="2" fillId="0" borderId="16" xfId="0" applyNumberFormat="1" applyFont="1" applyBorder="1" applyAlignment="1">
      <alignment horizontal="center"/>
    </xf>
    <xf numFmtId="2" fontId="2" fillId="0" borderId="16" xfId="0" applyNumberFormat="1" applyFont="1" applyBorder="1" applyAlignment="1">
      <alignment horizontal="center" vertical="center"/>
    </xf>
    <xf numFmtId="17" fontId="16" fillId="4" borderId="19" xfId="0" applyNumberFormat="1" applyFont="1" applyFill="1" applyBorder="1" applyAlignment="1">
      <alignment horizontal="center" vertical="center"/>
    </xf>
    <xf numFmtId="17" fontId="16" fillId="4" borderId="20" xfId="0" applyNumberFormat="1" applyFont="1" applyFill="1" applyBorder="1" applyAlignment="1">
      <alignment horizontal="center" vertical="center"/>
    </xf>
    <xf numFmtId="0" fontId="17"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0" borderId="14" xfId="0" applyFont="1" applyBorder="1" applyAlignment="1">
      <alignment horizontal="center" vertical="center"/>
    </xf>
    <xf numFmtId="2" fontId="2" fillId="0" borderId="17" xfId="0" applyNumberFormat="1" applyFont="1" applyBorder="1" applyAlignment="1">
      <alignment horizontal="center" vertical="center"/>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0" fillId="0" borderId="16" xfId="0" applyBorder="1" applyAlignment="1">
      <alignment horizontal="center"/>
    </xf>
    <xf numFmtId="0" fontId="0" fillId="0" borderId="17" xfId="0" applyBorder="1" applyAlignment="1">
      <alignment horizontal="center"/>
    </xf>
    <xf numFmtId="0" fontId="17" fillId="3" borderId="0" xfId="0" applyFont="1" applyFill="1" applyAlignment="1">
      <alignment horizontal="center" vertical="center"/>
    </xf>
    <xf numFmtId="43" fontId="2" fillId="0" borderId="13" xfId="2" applyFont="1" applyBorder="1" applyAlignment="1">
      <alignment horizontal="center" vertical="center"/>
    </xf>
    <xf numFmtId="43" fontId="2" fillId="0" borderId="14" xfId="2" applyFont="1" applyBorder="1" applyAlignment="1">
      <alignment horizontal="center" vertical="center"/>
    </xf>
    <xf numFmtId="43" fontId="2" fillId="0" borderId="13" xfId="2" applyFont="1" applyBorder="1" applyAlignment="1">
      <alignment horizontal="center"/>
    </xf>
    <xf numFmtId="43" fontId="2" fillId="0" borderId="16" xfId="2" applyFont="1" applyBorder="1" applyAlignment="1">
      <alignment horizontal="center" vertical="center"/>
    </xf>
    <xf numFmtId="43" fontId="2" fillId="0" borderId="17" xfId="2" applyFont="1" applyBorder="1" applyAlignment="1">
      <alignment horizontal="center" vertical="center"/>
    </xf>
    <xf numFmtId="0" fontId="9" fillId="0" borderId="0" xfId="0" applyFont="1" applyAlignment="1">
      <alignment horizontal="center" vertical="center"/>
    </xf>
    <xf numFmtId="0" fontId="5" fillId="4" borderId="12" xfId="0" applyFont="1" applyFill="1" applyBorder="1"/>
    <xf numFmtId="0" fontId="5" fillId="4" borderId="13" xfId="0" applyFont="1" applyFill="1" applyBorder="1"/>
    <xf numFmtId="0" fontId="2" fillId="5" borderId="12" xfId="0" applyFont="1" applyFill="1" applyBorder="1"/>
    <xf numFmtId="0" fontId="2" fillId="5" borderId="13" xfId="0" applyFont="1" applyFill="1" applyBorder="1"/>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5" fillId="4" borderId="14" xfId="0" applyFont="1" applyFill="1" applyBorder="1"/>
    <xf numFmtId="0" fontId="2" fillId="0" borderId="13" xfId="0" applyFont="1" applyBorder="1"/>
    <xf numFmtId="0" fontId="2" fillId="0" borderId="14" xfId="0" applyFont="1" applyBorder="1"/>
    <xf numFmtId="0" fontId="2" fillId="5" borderId="15" xfId="0" applyFont="1" applyFill="1" applyBorder="1"/>
    <xf numFmtId="0" fontId="2" fillId="5" borderId="16" xfId="0" applyFont="1" applyFill="1" applyBorder="1"/>
    <xf numFmtId="0" fontId="2" fillId="0" borderId="16" xfId="0" applyFont="1" applyBorder="1"/>
    <xf numFmtId="0" fontId="2" fillId="0" borderId="17" xfId="0" applyFont="1" applyBorder="1"/>
    <xf numFmtId="0" fontId="3" fillId="2" borderId="0" xfId="0" applyFont="1" applyFill="1" applyAlignment="1">
      <alignment horizontal="center" vertical="center"/>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0" xfId="0" applyFont="1" applyAlignment="1">
      <alignment horizontal="center" vertical="center"/>
    </xf>
    <xf numFmtId="1" fontId="2" fillId="0" borderId="13" xfId="0" applyNumberFormat="1" applyFont="1" applyBorder="1" applyAlignment="1">
      <alignment horizontal="left"/>
    </xf>
    <xf numFmtId="1" fontId="2" fillId="0" borderId="14" xfId="0" applyNumberFormat="1" applyFont="1" applyBorder="1" applyAlignment="1">
      <alignment horizontal="left"/>
    </xf>
    <xf numFmtId="0" fontId="4" fillId="2" borderId="0" xfId="0" applyFont="1" applyFill="1" applyAlignment="1">
      <alignment horizontal="center" vertical="center"/>
    </xf>
    <xf numFmtId="0" fontId="8" fillId="6" borderId="23" xfId="0" applyFont="1" applyFill="1" applyBorder="1" applyAlignment="1">
      <alignment horizontal="center" vertical="center"/>
    </xf>
    <xf numFmtId="0" fontId="8" fillId="6" borderId="24" xfId="0" applyFont="1" applyFill="1" applyBorder="1" applyAlignment="1">
      <alignment horizontal="center" vertical="center"/>
    </xf>
    <xf numFmtId="0" fontId="8" fillId="6" borderId="25"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34" xfId="0" applyFont="1" applyFill="1" applyBorder="1" applyAlignment="1">
      <alignment horizontal="center" vertical="center" wrapText="1"/>
    </xf>
    <xf numFmtId="0" fontId="8" fillId="3" borderId="35" xfId="0" applyFont="1" applyFill="1" applyBorder="1" applyAlignment="1">
      <alignment horizontal="center" vertical="center" wrapText="1"/>
    </xf>
    <xf numFmtId="0" fontId="8" fillId="3" borderId="36" xfId="0" applyFont="1" applyFill="1" applyBorder="1" applyAlignment="1">
      <alignment horizontal="center" vertical="center" wrapText="1"/>
    </xf>
    <xf numFmtId="0" fontId="8" fillId="3" borderId="9" xfId="0" applyFont="1" applyFill="1" applyBorder="1" applyAlignment="1">
      <alignment horizontal="left" vertical="center"/>
    </xf>
    <xf numFmtId="0" fontId="8" fillId="3" borderId="10" xfId="0" applyFont="1" applyFill="1" applyBorder="1" applyAlignment="1">
      <alignment horizontal="left" vertical="center"/>
    </xf>
    <xf numFmtId="0" fontId="8" fillId="3" borderId="11" xfId="0" applyFont="1" applyFill="1" applyBorder="1" applyAlignment="1">
      <alignment horizontal="left" vertical="center"/>
    </xf>
    <xf numFmtId="0" fontId="8" fillId="3" borderId="9" xfId="0" applyFont="1" applyFill="1" applyBorder="1"/>
    <xf numFmtId="0" fontId="8" fillId="3" borderId="10" xfId="0" applyFont="1" applyFill="1" applyBorder="1"/>
    <xf numFmtId="0" fontId="8" fillId="3" borderId="11" xfId="0" applyFont="1" applyFill="1" applyBorder="1"/>
    <xf numFmtId="10" fontId="2" fillId="0" borderId="26" xfId="0" applyNumberFormat="1" applyFont="1" applyBorder="1" applyAlignment="1">
      <alignment horizontal="center" vertical="center"/>
    </xf>
    <xf numFmtId="10" fontId="2" fillId="0" borderId="27" xfId="0" applyNumberFormat="1" applyFont="1" applyBorder="1" applyAlignment="1">
      <alignment horizontal="center" vertical="center"/>
    </xf>
    <xf numFmtId="10" fontId="2" fillId="0" borderId="28" xfId="0" applyNumberFormat="1" applyFont="1" applyBorder="1" applyAlignment="1">
      <alignment horizontal="center" vertical="center"/>
    </xf>
    <xf numFmtId="10" fontId="2" fillId="0" borderId="29" xfId="0" applyNumberFormat="1" applyFont="1" applyBorder="1" applyAlignment="1">
      <alignment horizontal="center" vertical="center"/>
    </xf>
    <xf numFmtId="10" fontId="2" fillId="0" borderId="30" xfId="0" applyNumberFormat="1" applyFont="1" applyBorder="1" applyAlignment="1">
      <alignment horizontal="center" vertical="center"/>
    </xf>
    <xf numFmtId="10" fontId="2" fillId="0" borderId="31" xfId="0" applyNumberFormat="1" applyFont="1" applyBorder="1" applyAlignment="1">
      <alignment horizontal="center" vertical="center"/>
    </xf>
    <xf numFmtId="10" fontId="2" fillId="0" borderId="32" xfId="0" applyNumberFormat="1" applyFont="1" applyBorder="1" applyAlignment="1">
      <alignment horizontal="center" vertical="center"/>
    </xf>
    <xf numFmtId="10" fontId="2" fillId="0" borderId="21" xfId="0" applyNumberFormat="1" applyFont="1" applyBorder="1" applyAlignment="1">
      <alignment horizontal="center" vertical="center"/>
    </xf>
    <xf numFmtId="10" fontId="2" fillId="0" borderId="22" xfId="0" applyNumberFormat="1" applyFont="1" applyBorder="1" applyAlignment="1">
      <alignment horizontal="center" vertical="center"/>
    </xf>
    <xf numFmtId="0" fontId="6" fillId="8" borderId="13" xfId="0" applyFont="1" applyFill="1" applyBorder="1"/>
    <xf numFmtId="0" fontId="6" fillId="8" borderId="14" xfId="0" applyFont="1" applyFill="1" applyBorder="1"/>
    <xf numFmtId="0" fontId="0" fillId="0" borderId="13" xfId="0" applyBorder="1"/>
    <xf numFmtId="0" fontId="0" fillId="0" borderId="14" xfId="0" applyBorder="1"/>
    <xf numFmtId="0" fontId="0" fillId="0" borderId="16" xfId="0" applyBorder="1"/>
    <xf numFmtId="0" fontId="0" fillId="0" borderId="17" xfId="0" applyBorder="1"/>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0" xfId="0" applyFont="1" applyAlignment="1">
      <alignment horizontal="center" vertical="center" wrapText="1"/>
    </xf>
    <xf numFmtId="0" fontId="2" fillId="0" borderId="42"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14" fillId="0" borderId="0" xfId="0" applyFont="1" applyAlignment="1">
      <alignment horizontal="center"/>
    </xf>
    <xf numFmtId="0" fontId="8" fillId="2" borderId="12" xfId="0" applyFont="1" applyFill="1" applyBorder="1" applyAlignment="1">
      <alignment horizontal="center" vertical="center" wrapText="1"/>
    </xf>
    <xf numFmtId="164" fontId="8" fillId="2" borderId="13" xfId="0" applyNumberFormat="1" applyFont="1" applyFill="1" applyBorder="1" applyAlignment="1">
      <alignment horizontal="center" vertical="center"/>
    </xf>
    <xf numFmtId="164" fontId="8" fillId="2" borderId="14" xfId="0" applyNumberFormat="1" applyFont="1" applyFill="1" applyBorder="1" applyAlignment="1">
      <alignment horizontal="center" vertical="center"/>
    </xf>
    <xf numFmtId="0" fontId="8" fillId="6" borderId="37" xfId="0" applyFont="1" applyFill="1" applyBorder="1" applyAlignment="1">
      <alignment horizontal="center" vertical="center"/>
    </xf>
    <xf numFmtId="0" fontId="8" fillId="6" borderId="38" xfId="0" applyFont="1" applyFill="1" applyBorder="1" applyAlignment="1">
      <alignment horizontal="center" vertical="center"/>
    </xf>
    <xf numFmtId="0" fontId="8" fillId="6" borderId="39" xfId="0" applyFont="1" applyFill="1" applyBorder="1" applyAlignment="1">
      <alignment horizontal="center" vertical="center"/>
    </xf>
    <xf numFmtId="0" fontId="7" fillId="0" borderId="0" xfId="0" applyFont="1" applyAlignment="1">
      <alignment vertical="center"/>
    </xf>
    <xf numFmtId="0" fontId="2" fillId="0" borderId="0" xfId="0" applyFont="1" applyAlignment="1">
      <alignment vertical="top"/>
    </xf>
    <xf numFmtId="0" fontId="7" fillId="4" borderId="9" xfId="0" applyFont="1" applyFill="1" applyBorder="1" applyAlignment="1">
      <alignment horizontal="center" vertical="center"/>
    </xf>
    <xf numFmtId="0" fontId="7" fillId="4" borderId="10" xfId="0" applyFont="1" applyFill="1" applyBorder="1" applyAlignment="1">
      <alignment horizontal="center" vertical="center"/>
    </xf>
    <xf numFmtId="0" fontId="7" fillId="4" borderId="11" xfId="0" applyFont="1" applyFill="1" applyBorder="1" applyAlignment="1">
      <alignment horizontal="center" vertic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latin typeface="Calibri" panose="020F0502020204030204" pitchFamily="34" charset="0"/>
                <a:ea typeface="Calibri" panose="020F0502020204030204" pitchFamily="34" charset="0"/>
                <a:cs typeface="Calibri" panose="020F0502020204030204" pitchFamily="34" charset="0"/>
              </a:rPr>
              <a:t>Revenue Trend (FY2022–FY2026)</a:t>
            </a:r>
            <a:endParaRPr lang="en-US">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Charts!$S$4</c:f>
              <c:strCache>
                <c:ptCount val="1"/>
                <c:pt idx="0">
                  <c:v>Revenue</c:v>
                </c:pt>
              </c:strCache>
            </c:strRef>
          </c:tx>
          <c:spPr>
            <a:solidFill>
              <a:schemeClr val="tx2">
                <a:lumMod val="90000"/>
                <a:lumOff val="10000"/>
              </a:schemeClr>
            </a:solidFill>
            <a:ln>
              <a:noFill/>
            </a:ln>
            <a:effectLst/>
          </c:spPr>
          <c:invertIfNegative val="0"/>
          <c:dLbls>
            <c:dLbl>
              <c:idx val="0"/>
              <c:layout>
                <c:manualLayout>
                  <c:x val="3.1872509960159364E-3"/>
                  <c:y val="1.0205857943849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1A7-4931-B37A-DB2C88E77C98}"/>
                </c:ext>
              </c:extLst>
            </c:dLbl>
            <c:dLbl>
              <c:idx val="1"/>
              <c:layout>
                <c:manualLayout>
                  <c:x val="0"/>
                  <c:y val="1.53472461186566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A7-4931-B37A-DB2C88E77C98}"/>
                </c:ext>
              </c:extLst>
            </c:dLbl>
            <c:dLbl>
              <c:idx val="2"/>
              <c:layout>
                <c:manualLayout>
                  <c:x val="3.1872509960159364E-3"/>
                  <c:y val="1.53472461186566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A7-4931-B37A-DB2C88E77C98}"/>
                </c:ext>
              </c:extLst>
            </c:dLbl>
            <c:dLbl>
              <c:idx val="3"/>
              <c:layout>
                <c:manualLayout>
                  <c:x val="-3.1872509960159364E-3"/>
                  <c:y val="1.53472461186567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A7-4931-B37A-DB2C88E77C98}"/>
                </c:ext>
              </c:extLst>
            </c:dLbl>
            <c:dLbl>
              <c:idx val="4"/>
              <c:layout>
                <c:manualLayout>
                  <c:x val="-6.374501992031989E-3"/>
                  <c:y val="1.02058579438495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A7-4931-B37A-DB2C88E77C98}"/>
                </c:ext>
              </c:extLst>
            </c:dLbl>
            <c:spPr>
              <a:solidFill>
                <a:schemeClr val="accent4">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strRef>
              <c:f>Charts!$R$5:$R$9</c:f>
              <c:strCache>
                <c:ptCount val="5"/>
                <c:pt idx="0">
                  <c:v>FY2022</c:v>
                </c:pt>
                <c:pt idx="1">
                  <c:v>FY2023</c:v>
                </c:pt>
                <c:pt idx="2">
                  <c:v>FY2024</c:v>
                </c:pt>
                <c:pt idx="3">
                  <c:v>FY2025</c:v>
                </c:pt>
                <c:pt idx="4">
                  <c:v>FY2026</c:v>
                </c:pt>
              </c:strCache>
            </c:strRef>
          </c:cat>
          <c:val>
            <c:numRef>
              <c:f>Charts!$S$5:$S$9</c:f>
              <c:numCache>
                <c:formatCode>General</c:formatCode>
                <c:ptCount val="5"/>
                <c:pt idx="0">
                  <c:v>135979.03</c:v>
                </c:pt>
                <c:pt idx="1">
                  <c:v>156521.23000000001</c:v>
                </c:pt>
                <c:pt idx="2">
                  <c:v>183340.7</c:v>
                </c:pt>
                <c:pt idx="3">
                  <c:v>221112.91</c:v>
                </c:pt>
                <c:pt idx="4">
                  <c:v>255734.45</c:v>
                </c:pt>
              </c:numCache>
            </c:numRef>
          </c:val>
          <c:extLst>
            <c:ext xmlns:c16="http://schemas.microsoft.com/office/drawing/2014/chart" uri="{C3380CC4-5D6E-409C-BE32-E72D297353CC}">
              <c16:uniqueId val="{00000000-91A7-4931-B37A-DB2C88E77C98}"/>
            </c:ext>
          </c:extLst>
        </c:ser>
        <c:dLbls>
          <c:dLblPos val="inEnd"/>
          <c:showLegendKey val="0"/>
          <c:showVal val="1"/>
          <c:showCatName val="0"/>
          <c:showSerName val="0"/>
          <c:showPercent val="0"/>
          <c:showBubbleSize val="0"/>
        </c:dLbls>
        <c:gapWidth val="269"/>
        <c:overlap val="-20"/>
        <c:axId val="1857020911"/>
        <c:axId val="1849321743"/>
      </c:barChart>
      <c:catAx>
        <c:axId val="185702091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49321743"/>
        <c:crosses val="autoZero"/>
        <c:auto val="1"/>
        <c:lblAlgn val="ctr"/>
        <c:lblOffset val="100"/>
        <c:noMultiLvlLbl val="0"/>
      </c:catAx>
      <c:valAx>
        <c:axId val="1849321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5702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2">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Operating Profit &amp; Net Profit Trend</a:t>
            </a:r>
            <a:endParaRPr lang="en-IN">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solidFill>
          <a:schemeClr val="tx2">
            <a:lumMod val="25000"/>
            <a:lumOff val="75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Charts!$S$11</c:f>
              <c:strCache>
                <c:ptCount val="1"/>
                <c:pt idx="0">
                  <c:v>Operating Profit</c:v>
                </c:pt>
              </c:strCache>
            </c:strRef>
          </c:tx>
          <c:spPr>
            <a:solidFill>
              <a:schemeClr val="tx2">
                <a:lumMod val="90000"/>
                <a:lumOff val="10000"/>
              </a:schemeClr>
            </a:solidFill>
            <a:ln>
              <a:noFill/>
            </a:ln>
            <a:effectLst>
              <a:outerShdw blurRad="57150" dist="19050" dir="5400000" algn="ctr" rotWithShape="0">
                <a:srgbClr val="000000">
                  <a:alpha val="63000"/>
                </a:srgbClr>
              </a:outerShdw>
            </a:effectLst>
          </c:spPr>
          <c:invertIfNegative val="0"/>
          <c:cat>
            <c:strRef>
              <c:f>Charts!$R$12:$R$16</c:f>
              <c:strCache>
                <c:ptCount val="5"/>
                <c:pt idx="0">
                  <c:v>FY2022</c:v>
                </c:pt>
                <c:pt idx="1">
                  <c:v>FY2023</c:v>
                </c:pt>
                <c:pt idx="2">
                  <c:v>FY2024</c:v>
                </c:pt>
                <c:pt idx="3">
                  <c:v>FY2025</c:v>
                </c:pt>
                <c:pt idx="4">
                  <c:v>FY2026</c:v>
                </c:pt>
              </c:strCache>
            </c:strRef>
          </c:cat>
          <c:val>
            <c:numRef>
              <c:f>Charts!$S$12:$S$16</c:f>
              <c:numCache>
                <c:formatCode>General</c:formatCode>
                <c:ptCount val="5"/>
                <c:pt idx="0">
                  <c:v>23460.24000000002</c:v>
                </c:pt>
                <c:pt idx="1">
                  <c:v>24313.890000000014</c:v>
                </c:pt>
                <c:pt idx="2">
                  <c:v>27166.020000000048</c:v>
                </c:pt>
                <c:pt idx="3">
                  <c:v>28758.119999999995</c:v>
                </c:pt>
                <c:pt idx="4">
                  <c:v>34426.899999999994</c:v>
                </c:pt>
              </c:numCache>
            </c:numRef>
          </c:val>
          <c:extLst>
            <c:ext xmlns:c16="http://schemas.microsoft.com/office/drawing/2014/chart" uri="{C3380CC4-5D6E-409C-BE32-E72D297353CC}">
              <c16:uniqueId val="{00000000-4045-4CCB-A2F1-A69DABFA456D}"/>
            </c:ext>
          </c:extLst>
        </c:ser>
        <c:ser>
          <c:idx val="1"/>
          <c:order val="1"/>
          <c:tx>
            <c:strRef>
              <c:f>Charts!$T$11</c:f>
              <c:strCache>
                <c:ptCount val="1"/>
                <c:pt idx="0">
                  <c:v>Net Profit</c:v>
                </c:pt>
              </c:strCache>
            </c:strRef>
          </c:tx>
          <c:spPr>
            <a:solidFill>
              <a:schemeClr val="bg1"/>
            </a:solidFill>
            <a:ln>
              <a:noFill/>
            </a:ln>
            <a:effectLst>
              <a:outerShdw blurRad="57150" dist="19050" dir="5400000" algn="ctr" rotWithShape="0">
                <a:srgbClr val="000000">
                  <a:alpha val="63000"/>
                </a:srgbClr>
              </a:outerShdw>
            </a:effectLst>
          </c:spPr>
          <c:invertIfNegative val="0"/>
          <c:cat>
            <c:strRef>
              <c:f>Charts!$R$12:$R$16</c:f>
              <c:strCache>
                <c:ptCount val="5"/>
                <c:pt idx="0">
                  <c:v>FY2022</c:v>
                </c:pt>
                <c:pt idx="1">
                  <c:v>FY2023</c:v>
                </c:pt>
                <c:pt idx="2">
                  <c:v>FY2024</c:v>
                </c:pt>
                <c:pt idx="3">
                  <c:v>FY2025</c:v>
                </c:pt>
                <c:pt idx="4">
                  <c:v>FY2026</c:v>
                </c:pt>
              </c:strCache>
            </c:strRef>
          </c:cat>
          <c:val>
            <c:numRef>
              <c:f>Charts!$T$12:$T$16</c:f>
              <c:numCache>
                <c:formatCode>General</c:formatCode>
                <c:ptCount val="5"/>
                <c:pt idx="0">
                  <c:v>11582.93</c:v>
                </c:pt>
                <c:pt idx="1">
                  <c:v>8669.33</c:v>
                </c:pt>
                <c:pt idx="2">
                  <c:v>10470.719999999999</c:v>
                </c:pt>
                <c:pt idx="3">
                  <c:v>13059.11</c:v>
                </c:pt>
                <c:pt idx="4">
                  <c:v>15037.11</c:v>
                </c:pt>
              </c:numCache>
            </c:numRef>
          </c:val>
          <c:extLst>
            <c:ext xmlns:c16="http://schemas.microsoft.com/office/drawing/2014/chart" uri="{C3380CC4-5D6E-409C-BE32-E72D297353CC}">
              <c16:uniqueId val="{00000001-4045-4CCB-A2F1-A69DABFA456D}"/>
            </c:ext>
          </c:extLst>
        </c:ser>
        <c:dLbls>
          <c:showLegendKey val="0"/>
          <c:showVal val="0"/>
          <c:showCatName val="0"/>
          <c:showSerName val="0"/>
          <c:showPercent val="0"/>
          <c:showBubbleSize val="0"/>
        </c:dLbls>
        <c:gapWidth val="100"/>
        <c:overlap val="-24"/>
        <c:axId val="38440751"/>
        <c:axId val="1849323663"/>
      </c:barChart>
      <c:catAx>
        <c:axId val="38440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323663"/>
        <c:crosses val="autoZero"/>
        <c:auto val="1"/>
        <c:lblAlgn val="ctr"/>
        <c:lblOffset val="100"/>
        <c:noMultiLvlLbl val="0"/>
      </c:catAx>
      <c:valAx>
        <c:axId val="184932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4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Operating &amp; Net Profit Margin Trend</a:t>
            </a:r>
            <a:endParaRPr lang="en-IN"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Charts!$S$18</c:f>
              <c:strCache>
                <c:ptCount val="1"/>
                <c:pt idx="0">
                  <c:v>OPM</c:v>
                </c:pt>
              </c:strCache>
            </c:strRef>
          </c:tx>
          <c:spPr>
            <a:ln w="28575" cap="rnd">
              <a:solidFill>
                <a:schemeClr val="tx2">
                  <a:lumMod val="90000"/>
                  <a:lumOff val="10000"/>
                </a:schemeClr>
              </a:solidFill>
              <a:round/>
            </a:ln>
            <a:effectLst/>
          </c:spPr>
          <c:marker>
            <c:symbol val="none"/>
          </c:marker>
          <c:cat>
            <c:strRef>
              <c:f>Charts!$R$19:$R$23</c:f>
              <c:strCache>
                <c:ptCount val="5"/>
                <c:pt idx="0">
                  <c:v>FY2022</c:v>
                </c:pt>
                <c:pt idx="1">
                  <c:v>FY2023</c:v>
                </c:pt>
                <c:pt idx="2">
                  <c:v>FY2024</c:v>
                </c:pt>
                <c:pt idx="3">
                  <c:v>FY2025</c:v>
                </c:pt>
                <c:pt idx="4">
                  <c:v>FY2026</c:v>
                </c:pt>
              </c:strCache>
            </c:strRef>
          </c:cat>
          <c:val>
            <c:numRef>
              <c:f>Charts!$S$19:$S$23</c:f>
              <c:numCache>
                <c:formatCode>0.00%</c:formatCode>
                <c:ptCount val="5"/>
                <c:pt idx="0">
                  <c:v>0.15533924695071724</c:v>
                </c:pt>
                <c:pt idx="1">
                  <c:v>0.14817233707518324</c:v>
                </c:pt>
                <c:pt idx="2">
                  <c:v>0.13006079111346322</c:v>
                </c:pt>
                <c:pt idx="3">
                  <c:v>0.1346197197913695</c:v>
                </c:pt>
                <c:pt idx="4">
                  <c:v>0.12386805168536261</c:v>
                </c:pt>
              </c:numCache>
            </c:numRef>
          </c:val>
          <c:smooth val="0"/>
          <c:extLst>
            <c:ext xmlns:c16="http://schemas.microsoft.com/office/drawing/2014/chart" uri="{C3380CC4-5D6E-409C-BE32-E72D297353CC}">
              <c16:uniqueId val="{00000000-2F8F-4E27-A46A-AF696E181096}"/>
            </c:ext>
          </c:extLst>
        </c:ser>
        <c:ser>
          <c:idx val="1"/>
          <c:order val="1"/>
          <c:tx>
            <c:strRef>
              <c:f>Charts!$T$18</c:f>
              <c:strCache>
                <c:ptCount val="1"/>
                <c:pt idx="0">
                  <c:v>NPM</c:v>
                </c:pt>
              </c:strCache>
            </c:strRef>
          </c:tx>
          <c:spPr>
            <a:ln w="28575" cap="rnd">
              <a:solidFill>
                <a:schemeClr val="bg1"/>
              </a:solidFill>
              <a:round/>
            </a:ln>
            <a:effectLst/>
          </c:spPr>
          <c:marker>
            <c:symbol val="none"/>
          </c:marker>
          <c:cat>
            <c:strRef>
              <c:f>Charts!$R$19:$R$23</c:f>
              <c:strCache>
                <c:ptCount val="5"/>
                <c:pt idx="0">
                  <c:v>FY2022</c:v>
                </c:pt>
                <c:pt idx="1">
                  <c:v>FY2023</c:v>
                </c:pt>
                <c:pt idx="2">
                  <c:v>FY2024</c:v>
                </c:pt>
                <c:pt idx="3">
                  <c:v>FY2025</c:v>
                </c:pt>
                <c:pt idx="4">
                  <c:v>FY2026</c:v>
                </c:pt>
              </c:strCache>
            </c:strRef>
          </c:cat>
          <c:val>
            <c:numRef>
              <c:f>Charts!$T$19:$T$23</c:f>
              <c:numCache>
                <c:formatCode>0.00%</c:formatCode>
                <c:ptCount val="5"/>
                <c:pt idx="0">
                  <c:v>5.5387566274555849E-2</c:v>
                </c:pt>
                <c:pt idx="1">
                  <c:v>5.7110723369115525E-2</c:v>
                </c:pt>
                <c:pt idx="2">
                  <c:v>5.9060821007692409E-2</c:v>
                </c:pt>
                <c:pt idx="3">
                  <c:v>5.8799704146234505E-2</c:v>
                </c:pt>
                <c:pt idx="4">
                  <c:v>5.6262443403458783E-2</c:v>
                </c:pt>
              </c:numCache>
            </c:numRef>
          </c:val>
          <c:smooth val="0"/>
          <c:extLst>
            <c:ext xmlns:c16="http://schemas.microsoft.com/office/drawing/2014/chart" uri="{C3380CC4-5D6E-409C-BE32-E72D297353CC}">
              <c16:uniqueId val="{00000001-2F8F-4E27-A46A-AF696E181096}"/>
            </c:ext>
          </c:extLst>
        </c:ser>
        <c:dLbls>
          <c:showLegendKey val="0"/>
          <c:showVal val="0"/>
          <c:showCatName val="0"/>
          <c:showSerName val="0"/>
          <c:showPercent val="0"/>
          <c:showBubbleSize val="0"/>
        </c:dLbls>
        <c:smooth val="0"/>
        <c:axId val="168170063"/>
        <c:axId val="1358790543"/>
      </c:lineChart>
      <c:catAx>
        <c:axId val="16817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790543"/>
        <c:crosses val="autoZero"/>
        <c:auto val="1"/>
        <c:lblAlgn val="ctr"/>
        <c:lblOffset val="100"/>
        <c:noMultiLvlLbl val="0"/>
      </c:catAx>
      <c:valAx>
        <c:axId val="1358790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rPr>
              <a:t>Leverage &amp; Debt Servicing Trend</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Charts!$S$25</c:f>
              <c:strCache>
                <c:ptCount val="1"/>
                <c:pt idx="0">
                  <c:v>Debt-to-Equity</c:v>
                </c:pt>
              </c:strCache>
            </c:strRef>
          </c:tx>
          <c:spPr>
            <a:ln w="28575" cap="rnd">
              <a:solidFill>
                <a:schemeClr val="bg1"/>
              </a:solidFill>
              <a:round/>
            </a:ln>
            <a:effectLst/>
          </c:spPr>
          <c:marker>
            <c:symbol val="none"/>
          </c:marker>
          <c:cat>
            <c:strRef>
              <c:f>Charts!$R$26:$R$30</c:f>
              <c:strCache>
                <c:ptCount val="5"/>
                <c:pt idx="0">
                  <c:v>FY2022</c:v>
                </c:pt>
                <c:pt idx="1">
                  <c:v>FY2023</c:v>
                </c:pt>
                <c:pt idx="2">
                  <c:v>FY2024</c:v>
                </c:pt>
                <c:pt idx="3">
                  <c:v>FY2025</c:v>
                </c:pt>
                <c:pt idx="4">
                  <c:v>FY2026</c:v>
                </c:pt>
              </c:strCache>
            </c:strRef>
          </c:cat>
          <c:val>
            <c:numRef>
              <c:f>Charts!$S$26:$S$30</c:f>
              <c:numCache>
                <c:formatCode>0.00</c:formatCode>
                <c:ptCount val="5"/>
                <c:pt idx="0">
                  <c:v>1.5230147294559755</c:v>
                </c:pt>
                <c:pt idx="1">
                  <c:v>1.3506762592505313</c:v>
                </c:pt>
                <c:pt idx="2">
                  <c:v>1.3469574303803509</c:v>
                </c:pt>
                <c:pt idx="3">
                  <c:v>1.3558763655130892</c:v>
                </c:pt>
                <c:pt idx="4">
                  <c:v>1.1482918808525588</c:v>
                </c:pt>
              </c:numCache>
            </c:numRef>
          </c:val>
          <c:smooth val="0"/>
          <c:extLst>
            <c:ext xmlns:c16="http://schemas.microsoft.com/office/drawing/2014/chart" uri="{C3380CC4-5D6E-409C-BE32-E72D297353CC}">
              <c16:uniqueId val="{00000000-0F13-4DA7-A4A9-DF259055E166}"/>
            </c:ext>
          </c:extLst>
        </c:ser>
        <c:ser>
          <c:idx val="1"/>
          <c:order val="1"/>
          <c:tx>
            <c:strRef>
              <c:f>Charts!$T$25</c:f>
              <c:strCache>
                <c:ptCount val="1"/>
                <c:pt idx="0">
                  <c:v>Interest Coverage</c:v>
                </c:pt>
              </c:strCache>
            </c:strRef>
          </c:tx>
          <c:spPr>
            <a:ln w="28575" cap="rnd">
              <a:solidFill>
                <a:schemeClr val="tx2">
                  <a:lumMod val="90000"/>
                  <a:lumOff val="10000"/>
                </a:schemeClr>
              </a:solidFill>
              <a:round/>
            </a:ln>
            <a:effectLst/>
          </c:spPr>
          <c:marker>
            <c:symbol val="none"/>
          </c:marker>
          <c:cat>
            <c:strRef>
              <c:f>Charts!$R$26:$R$30</c:f>
              <c:strCache>
                <c:ptCount val="5"/>
                <c:pt idx="0">
                  <c:v>FY2022</c:v>
                </c:pt>
                <c:pt idx="1">
                  <c:v>FY2023</c:v>
                </c:pt>
                <c:pt idx="2">
                  <c:v>FY2024</c:v>
                </c:pt>
                <c:pt idx="3">
                  <c:v>FY2025</c:v>
                </c:pt>
                <c:pt idx="4">
                  <c:v>FY2026</c:v>
                </c:pt>
              </c:strCache>
            </c:strRef>
          </c:cat>
          <c:val>
            <c:numRef>
              <c:f>Charts!$T$26:$T$30</c:f>
              <c:numCache>
                <c:formatCode>0.00</c:formatCode>
                <c:ptCount val="5"/>
                <c:pt idx="0">
                  <c:v>2.8887880645112407</c:v>
                </c:pt>
                <c:pt idx="1">
                  <c:v>3.1821408002168292</c:v>
                </c:pt>
                <c:pt idx="2">
                  <c:v>3.5440504112100597</c:v>
                </c:pt>
                <c:pt idx="3">
                  <c:v>3.7909908330461723</c:v>
                </c:pt>
                <c:pt idx="4">
                  <c:v>4.0171779067894153</c:v>
                </c:pt>
              </c:numCache>
            </c:numRef>
          </c:val>
          <c:smooth val="0"/>
          <c:extLst>
            <c:ext xmlns:c16="http://schemas.microsoft.com/office/drawing/2014/chart" uri="{C3380CC4-5D6E-409C-BE32-E72D297353CC}">
              <c16:uniqueId val="{00000001-0F13-4DA7-A4A9-DF259055E166}"/>
            </c:ext>
          </c:extLst>
        </c:ser>
        <c:dLbls>
          <c:showLegendKey val="0"/>
          <c:showVal val="0"/>
          <c:showCatName val="0"/>
          <c:showSerName val="0"/>
          <c:showPercent val="0"/>
          <c:showBubbleSize val="0"/>
        </c:dLbls>
        <c:smooth val="0"/>
        <c:axId val="173297423"/>
        <c:axId val="1788505519"/>
      </c:lineChart>
      <c:catAx>
        <c:axId val="17329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05519"/>
        <c:crosses val="autoZero"/>
        <c:auto val="1"/>
        <c:lblAlgn val="ctr"/>
        <c:lblOffset val="100"/>
        <c:noMultiLvlLbl val="0"/>
      </c:catAx>
      <c:valAx>
        <c:axId val="1788505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chemeClr val="bg1"/>
                </a:solidFill>
              </a:rPr>
              <a:t>L&amp;T: DCF Intrinsic Value vs Market Price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Charts!$S$32</c:f>
              <c:strCache>
                <c:ptCount val="1"/>
                <c:pt idx="0">
                  <c:v>₹/Share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90000"/>
                  <a:lumOff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A6D-4923-93B8-05EFB0980E84}"/>
              </c:ext>
            </c:extLst>
          </c:dPt>
          <c:dPt>
            <c:idx val="1"/>
            <c:invertIfNegative val="0"/>
            <c:bubble3D val="0"/>
            <c:spPr>
              <a:solidFill>
                <a:schemeClr val="bg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A6D-4923-93B8-05EFB0980E84}"/>
              </c:ext>
            </c:extLst>
          </c:dPt>
          <c:cat>
            <c:strRef>
              <c:f>Charts!$R$33:$R$34</c:f>
              <c:strCache>
                <c:ptCount val="2"/>
                <c:pt idx="0">
                  <c:v>DCF Intrinsic Value</c:v>
                </c:pt>
                <c:pt idx="1">
                  <c:v>Current Market Price</c:v>
                </c:pt>
              </c:strCache>
            </c:strRef>
          </c:cat>
          <c:val>
            <c:numRef>
              <c:f>Charts!$S$33:$S$34</c:f>
              <c:numCache>
                <c:formatCode>0.00</c:formatCode>
                <c:ptCount val="2"/>
                <c:pt idx="0">
                  <c:v>4708.1579600776131</c:v>
                </c:pt>
                <c:pt idx="1">
                  <c:v>4061</c:v>
                </c:pt>
              </c:numCache>
            </c:numRef>
          </c:val>
          <c:extLst>
            <c:ext xmlns:c16="http://schemas.microsoft.com/office/drawing/2014/chart" uri="{C3380CC4-5D6E-409C-BE32-E72D297353CC}">
              <c16:uniqueId val="{00000000-EA6D-4923-93B8-05EFB0980E84}"/>
            </c:ext>
          </c:extLst>
        </c:ser>
        <c:dLbls>
          <c:showLegendKey val="0"/>
          <c:showVal val="0"/>
          <c:showCatName val="0"/>
          <c:showSerName val="0"/>
          <c:showPercent val="0"/>
          <c:showBubbleSize val="0"/>
        </c:dLbls>
        <c:gapWidth val="100"/>
        <c:overlap val="-24"/>
        <c:axId val="1812979791"/>
        <c:axId val="1849311183"/>
      </c:barChart>
      <c:catAx>
        <c:axId val="1812979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311183"/>
        <c:crosses val="autoZero"/>
        <c:auto val="1"/>
        <c:lblAlgn val="ctr"/>
        <c:lblOffset val="100"/>
        <c:noMultiLvlLbl val="0"/>
      </c:catAx>
      <c:valAx>
        <c:axId val="1849311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97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139700</xdr:colOff>
      <xdr:row>3</xdr:row>
      <xdr:rowOff>57150</xdr:rowOff>
    </xdr:from>
    <xdr:to>
      <xdr:col>8</xdr:col>
      <xdr:colOff>474962</xdr:colOff>
      <xdr:row>14</xdr:row>
      <xdr:rowOff>171450</xdr:rowOff>
    </xdr:to>
    <xdr:pic>
      <xdr:nvPicPr>
        <xdr:cNvPr id="3" name="Picture 2">
          <a:extLst>
            <a:ext uri="{FF2B5EF4-FFF2-40B4-BE49-F238E27FC236}">
              <a16:creationId xmlns:a16="http://schemas.microsoft.com/office/drawing/2014/main" id="{D4195DF4-240C-1D00-17DB-920E7B9B7172}"/>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rcRect l="10200" t="11717" r="10200" b="11256"/>
        <a:stretch>
          <a:fillRect/>
        </a:stretch>
      </xdr:blipFill>
      <xdr:spPr>
        <a:xfrm>
          <a:off x="3187700" y="863600"/>
          <a:ext cx="2164062" cy="2139950"/>
        </a:xfrm>
        <a:prstGeom prst="rect">
          <a:avLst/>
        </a:prstGeom>
      </xdr:spPr>
    </xdr:pic>
    <xdr:clientData/>
  </xdr:twoCellAnchor>
  <xdr:twoCellAnchor editAs="oneCell">
    <xdr:from>
      <xdr:col>4</xdr:col>
      <xdr:colOff>381001</xdr:colOff>
      <xdr:row>15</xdr:row>
      <xdr:rowOff>51595</xdr:rowOff>
    </xdr:from>
    <xdr:to>
      <xdr:col>9</xdr:col>
      <xdr:colOff>249001</xdr:colOff>
      <xdr:row>16</xdr:row>
      <xdr:rowOff>151296</xdr:rowOff>
    </xdr:to>
    <xdr:pic>
      <xdr:nvPicPr>
        <xdr:cNvPr id="7" name="Picture 6">
          <a:extLst>
            <a:ext uri="{FF2B5EF4-FFF2-40B4-BE49-F238E27FC236}">
              <a16:creationId xmlns:a16="http://schemas.microsoft.com/office/drawing/2014/main" id="{7D2E27E2-0471-E831-0A22-E5A2B92B08C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6398" t="46401" r="4874" b="46905"/>
        <a:stretch>
          <a:fillRect/>
        </a:stretch>
      </xdr:blipFill>
      <xdr:spPr>
        <a:xfrm>
          <a:off x="2819401" y="3067845"/>
          <a:ext cx="2916000" cy="283851"/>
        </a:xfrm>
        <a:prstGeom prst="rect">
          <a:avLst/>
        </a:prstGeom>
      </xdr:spPr>
    </xdr:pic>
    <xdr:clientData/>
  </xdr:twoCellAnchor>
  <xdr:twoCellAnchor>
    <xdr:from>
      <xdr:col>1</xdr:col>
      <xdr:colOff>19050</xdr:colOff>
      <xdr:row>42</xdr:row>
      <xdr:rowOff>6350</xdr:rowOff>
    </xdr:from>
    <xdr:to>
      <xdr:col>13</xdr:col>
      <xdr:colOff>11850</xdr:colOff>
      <xdr:row>42</xdr:row>
      <xdr:rowOff>19050</xdr:rowOff>
    </xdr:to>
    <xdr:cxnSp macro="">
      <xdr:nvCxnSpPr>
        <xdr:cNvPr id="11" name="Straight Connector 10">
          <a:extLst>
            <a:ext uri="{FF2B5EF4-FFF2-40B4-BE49-F238E27FC236}">
              <a16:creationId xmlns:a16="http://schemas.microsoft.com/office/drawing/2014/main" id="{038C32D0-D0C0-5999-5EFE-B161539617D6}"/>
            </a:ext>
          </a:extLst>
        </xdr:cNvPr>
        <xdr:cNvCxnSpPr/>
      </xdr:nvCxnSpPr>
      <xdr:spPr>
        <a:xfrm flipV="1">
          <a:off x="628650" y="8185150"/>
          <a:ext cx="7308000" cy="1270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111125</xdr:colOff>
      <xdr:row>1</xdr:row>
      <xdr:rowOff>120650</xdr:rowOff>
    </xdr:from>
    <xdr:to>
      <xdr:col>6</xdr:col>
      <xdr:colOff>438150</xdr:colOff>
      <xdr:row>10</xdr:row>
      <xdr:rowOff>269875</xdr:rowOff>
    </xdr:to>
    <xdr:graphicFrame macro="">
      <xdr:nvGraphicFramePr>
        <xdr:cNvPr id="2" name="Chart 1">
          <a:extLst>
            <a:ext uri="{FF2B5EF4-FFF2-40B4-BE49-F238E27FC236}">
              <a16:creationId xmlns:a16="http://schemas.microsoft.com/office/drawing/2014/main" id="{8210E316-3104-416D-88D5-B41FE8BA0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168275</xdr:colOff>
      <xdr:row>1</xdr:row>
      <xdr:rowOff>146051</xdr:rowOff>
    </xdr:from>
    <xdr:to>
      <xdr:col>13</xdr:col>
      <xdr:colOff>514350</xdr:colOff>
      <xdr:row>10</xdr:row>
      <xdr:rowOff>285751</xdr:rowOff>
    </xdr:to>
    <xdr:graphicFrame macro="">
      <xdr:nvGraphicFramePr>
        <xdr:cNvPr id="3" name="Chart 2">
          <a:extLst>
            <a:ext uri="{FF2B5EF4-FFF2-40B4-BE49-F238E27FC236}">
              <a16:creationId xmlns:a16="http://schemas.microsoft.com/office/drawing/2014/main" id="{8EDA4677-DA1A-CDCC-C031-0569D4A6E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11</xdr:row>
      <xdr:rowOff>111126</xdr:rowOff>
    </xdr:from>
    <xdr:to>
      <xdr:col>6</xdr:col>
      <xdr:colOff>492125</xdr:colOff>
      <xdr:row>21</xdr:row>
      <xdr:rowOff>79376</xdr:rowOff>
    </xdr:to>
    <xdr:graphicFrame macro="">
      <xdr:nvGraphicFramePr>
        <xdr:cNvPr id="5" name="Chart 4">
          <a:extLst>
            <a:ext uri="{FF2B5EF4-FFF2-40B4-BE49-F238E27FC236}">
              <a16:creationId xmlns:a16="http://schemas.microsoft.com/office/drawing/2014/main" id="{4E6C02E4-4D2B-3C92-63A7-DF46E939D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152400</xdr:colOff>
      <xdr:row>11</xdr:row>
      <xdr:rowOff>146050</xdr:rowOff>
    </xdr:from>
    <xdr:to>
      <xdr:col>13</xdr:col>
      <xdr:colOff>492125</xdr:colOff>
      <xdr:row>21</xdr:row>
      <xdr:rowOff>79375</xdr:rowOff>
    </xdr:to>
    <xdr:graphicFrame macro="">
      <xdr:nvGraphicFramePr>
        <xdr:cNvPr id="6" name="Chart 5">
          <a:extLst>
            <a:ext uri="{FF2B5EF4-FFF2-40B4-BE49-F238E27FC236}">
              <a16:creationId xmlns:a16="http://schemas.microsoft.com/office/drawing/2014/main" id="{AC9CBDEF-882B-69CD-7A42-B2564ECD1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103717</xdr:colOff>
      <xdr:row>22</xdr:row>
      <xdr:rowOff>149226</xdr:rowOff>
    </xdr:from>
    <xdr:to>
      <xdr:col>13</xdr:col>
      <xdr:colOff>484716</xdr:colOff>
      <xdr:row>33</xdr:row>
      <xdr:rowOff>0</xdr:rowOff>
    </xdr:to>
    <xdr:graphicFrame macro="">
      <xdr:nvGraphicFramePr>
        <xdr:cNvPr id="7" name="Chart 6">
          <a:extLst>
            <a:ext uri="{FF2B5EF4-FFF2-40B4-BE49-F238E27FC236}">
              <a16:creationId xmlns:a16="http://schemas.microsoft.com/office/drawing/2014/main" id="{3FF04F2A-8B31-64BE-2A81-CD015BA70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43EAC-AF90-49B5-8203-B0538B56A606}">
  <sheetPr codeName="Sheet1"/>
  <dimension ref="A1:N45"/>
  <sheetViews>
    <sheetView showGridLines="0" topLeftCell="A18" zoomScaleNormal="100" workbookViewId="0">
      <selection activeCell="G21" sqref="G21:K21"/>
    </sheetView>
  </sheetViews>
  <sheetFormatPr defaultRowHeight="14.5"/>
  <cols>
    <col min="1" max="3" width="8.7265625" style="2"/>
    <col min="4" max="4" width="8.7265625" style="2" customWidth="1"/>
    <col min="5" max="5" width="8.7265625" style="2"/>
    <col min="6" max="8" width="8.7265625" style="2" customWidth="1"/>
    <col min="9" max="16384" width="8.7265625" style="2"/>
  </cols>
  <sheetData>
    <row r="1" spans="1:14" ht="35" customHeight="1">
      <c r="A1" s="13"/>
      <c r="B1" s="138" t="s">
        <v>38</v>
      </c>
      <c r="C1" s="138"/>
      <c r="D1" s="138"/>
      <c r="E1" s="138"/>
      <c r="F1" s="138"/>
      <c r="G1" s="138"/>
      <c r="H1" s="138"/>
      <c r="I1" s="138"/>
      <c r="J1" s="138"/>
      <c r="K1" s="138"/>
      <c r="L1" s="138"/>
      <c r="M1" s="138"/>
      <c r="N1" s="13"/>
    </row>
    <row r="2" spans="1:14" ht="10" customHeight="1"/>
    <row r="3" spans="1:14" ht="18.5">
      <c r="A3" s="123" t="s">
        <v>39</v>
      </c>
      <c r="B3" s="123"/>
      <c r="C3" s="123"/>
      <c r="D3" s="123"/>
      <c r="E3" s="123"/>
      <c r="F3" s="123"/>
      <c r="G3" s="123"/>
      <c r="H3" s="123"/>
      <c r="I3" s="123"/>
      <c r="J3" s="123"/>
      <c r="K3" s="123"/>
      <c r="L3" s="123"/>
      <c r="M3" s="123"/>
      <c r="N3" s="123"/>
    </row>
    <row r="18" spans="3:12" ht="15" thickBot="1"/>
    <row r="19" spans="3:12" ht="22" customHeight="1" thickBot="1">
      <c r="C19" s="12"/>
      <c r="D19" s="128" t="s">
        <v>58</v>
      </c>
      <c r="E19" s="129"/>
      <c r="F19" s="129"/>
      <c r="G19" s="129"/>
      <c r="H19" s="129"/>
      <c r="I19" s="129"/>
      <c r="J19" s="129"/>
      <c r="K19" s="130"/>
      <c r="L19" s="11"/>
    </row>
    <row r="20" spans="3:12" ht="15" thickBot="1">
      <c r="D20" s="124" t="s">
        <v>40</v>
      </c>
      <c r="E20" s="125"/>
      <c r="F20" s="125"/>
      <c r="G20" s="125" t="s">
        <v>41</v>
      </c>
      <c r="H20" s="125"/>
      <c r="I20" s="125"/>
      <c r="J20" s="125"/>
      <c r="K20" s="131"/>
    </row>
    <row r="21" spans="3:12" ht="15" thickBot="1">
      <c r="D21" s="126" t="s">
        <v>42</v>
      </c>
      <c r="E21" s="127"/>
      <c r="F21" s="127"/>
      <c r="G21" s="132" t="s">
        <v>199</v>
      </c>
      <c r="H21" s="132"/>
      <c r="I21" s="132"/>
      <c r="J21" s="132"/>
      <c r="K21" s="133"/>
    </row>
    <row r="22" spans="3:12" ht="15" thickBot="1">
      <c r="D22" s="126" t="s">
        <v>43</v>
      </c>
      <c r="E22" s="127"/>
      <c r="F22" s="127"/>
      <c r="G22" s="132" t="s">
        <v>44</v>
      </c>
      <c r="H22" s="132"/>
      <c r="I22" s="132"/>
      <c r="J22" s="132"/>
      <c r="K22" s="133"/>
    </row>
    <row r="23" spans="3:12" ht="15" thickBot="1">
      <c r="D23" s="126" t="s">
        <v>45</v>
      </c>
      <c r="E23" s="127"/>
      <c r="F23" s="127"/>
      <c r="G23" s="132" t="s">
        <v>62</v>
      </c>
      <c r="H23" s="132"/>
      <c r="I23" s="132"/>
      <c r="J23" s="132"/>
      <c r="K23" s="133"/>
    </row>
    <row r="24" spans="3:12" ht="15" thickBot="1">
      <c r="D24" s="126" t="s">
        <v>46</v>
      </c>
      <c r="E24" s="127"/>
      <c r="F24" s="127"/>
      <c r="G24" s="132" t="s">
        <v>63</v>
      </c>
      <c r="H24" s="132"/>
      <c r="I24" s="132"/>
      <c r="J24" s="132"/>
      <c r="K24" s="133"/>
    </row>
    <row r="25" spans="3:12" ht="15" thickBot="1">
      <c r="D25" s="126" t="s">
        <v>47</v>
      </c>
      <c r="E25" s="127"/>
      <c r="F25" s="127"/>
      <c r="G25" s="132" t="s">
        <v>48</v>
      </c>
      <c r="H25" s="132"/>
      <c r="I25" s="132"/>
      <c r="J25" s="132"/>
      <c r="K25" s="133"/>
    </row>
    <row r="26" spans="3:12" ht="15" thickBot="1">
      <c r="D26" s="126" t="s">
        <v>49</v>
      </c>
      <c r="E26" s="127"/>
      <c r="F26" s="127"/>
      <c r="G26" s="132" t="s">
        <v>50</v>
      </c>
      <c r="H26" s="132"/>
      <c r="I26" s="132"/>
      <c r="J26" s="132"/>
      <c r="K26" s="133"/>
    </row>
    <row r="27" spans="3:12" ht="15" thickBot="1">
      <c r="D27" s="134" t="s">
        <v>51</v>
      </c>
      <c r="E27" s="135"/>
      <c r="F27" s="135"/>
      <c r="G27" s="136" t="s">
        <v>52</v>
      </c>
      <c r="H27" s="136"/>
      <c r="I27" s="136"/>
      <c r="J27" s="136"/>
      <c r="K27" s="137"/>
    </row>
    <row r="29" spans="3:12" ht="15" thickBot="1"/>
    <row r="30" spans="3:12" ht="22" customHeight="1" thickBot="1">
      <c r="D30" s="128" t="s">
        <v>61</v>
      </c>
      <c r="E30" s="129"/>
      <c r="F30" s="129"/>
      <c r="G30" s="129"/>
      <c r="H30" s="129"/>
      <c r="I30" s="129"/>
      <c r="J30" s="129"/>
      <c r="K30" s="130"/>
    </row>
    <row r="31" spans="3:12" ht="15" thickBot="1">
      <c r="D31" s="124" t="s">
        <v>40</v>
      </c>
      <c r="E31" s="125"/>
      <c r="F31" s="125"/>
      <c r="G31" s="125" t="s">
        <v>41</v>
      </c>
      <c r="H31" s="125"/>
      <c r="I31" s="125"/>
      <c r="J31" s="125"/>
      <c r="K31" s="131"/>
    </row>
    <row r="32" spans="3:12" ht="15" thickBot="1">
      <c r="D32" s="126" t="s">
        <v>53</v>
      </c>
      <c r="E32" s="127"/>
      <c r="F32" s="127"/>
      <c r="G32" s="132" t="s">
        <v>195</v>
      </c>
      <c r="H32" s="132"/>
      <c r="I32" s="132"/>
      <c r="J32" s="132"/>
      <c r="K32" s="133"/>
    </row>
    <row r="33" spans="3:12" ht="15" thickBot="1">
      <c r="D33" s="126" t="s">
        <v>54</v>
      </c>
      <c r="E33" s="127"/>
      <c r="F33" s="127"/>
      <c r="G33" s="149">
        <v>2506142250002</v>
      </c>
      <c r="H33" s="149"/>
      <c r="I33" s="149"/>
      <c r="J33" s="149"/>
      <c r="K33" s="150"/>
    </row>
    <row r="34" spans="3:12" ht="15" thickBot="1">
      <c r="D34" s="126" t="s">
        <v>55</v>
      </c>
      <c r="E34" s="127"/>
      <c r="F34" s="127"/>
      <c r="G34" s="132" t="s">
        <v>60</v>
      </c>
      <c r="H34" s="132"/>
      <c r="I34" s="132"/>
      <c r="J34" s="132"/>
      <c r="K34" s="133"/>
    </row>
    <row r="35" spans="3:12" ht="15" thickBot="1">
      <c r="D35" s="126" t="s">
        <v>56</v>
      </c>
      <c r="E35" s="127"/>
      <c r="F35" s="127"/>
      <c r="G35" s="132" t="s">
        <v>196</v>
      </c>
      <c r="H35" s="132"/>
      <c r="I35" s="132"/>
      <c r="J35" s="132"/>
      <c r="K35" s="133"/>
    </row>
    <row r="36" spans="3:12" ht="15" thickBot="1">
      <c r="D36" s="126" t="s">
        <v>57</v>
      </c>
      <c r="E36" s="127"/>
      <c r="F36" s="127"/>
      <c r="G36" s="132" t="s">
        <v>64</v>
      </c>
      <c r="H36" s="132"/>
      <c r="I36" s="132"/>
      <c r="J36" s="132"/>
      <c r="K36" s="133"/>
    </row>
    <row r="37" spans="3:12" ht="15" thickBot="1">
      <c r="D37" s="134" t="s">
        <v>59</v>
      </c>
      <c r="E37" s="135"/>
      <c r="F37" s="135"/>
      <c r="G37" s="136" t="s">
        <v>197</v>
      </c>
      <c r="H37" s="136"/>
      <c r="I37" s="136"/>
      <c r="J37" s="136"/>
      <c r="K37" s="137"/>
    </row>
    <row r="39" spans="3:12">
      <c r="D39" s="139" t="s">
        <v>198</v>
      </c>
      <c r="E39" s="140"/>
      <c r="F39" s="140"/>
      <c r="G39" s="140"/>
      <c r="H39" s="140"/>
      <c r="I39" s="140"/>
      <c r="J39" s="140"/>
      <c r="K39" s="141"/>
    </row>
    <row r="40" spans="3:12">
      <c r="D40" s="142"/>
      <c r="E40" s="143"/>
      <c r="F40" s="143"/>
      <c r="G40" s="143"/>
      <c r="H40" s="143"/>
      <c r="I40" s="143"/>
      <c r="J40" s="143"/>
      <c r="K40" s="144"/>
    </row>
    <row r="41" spans="3:12">
      <c r="D41" s="145"/>
      <c r="E41" s="146"/>
      <c r="F41" s="146"/>
      <c r="G41" s="146"/>
      <c r="H41" s="146"/>
      <c r="I41" s="146"/>
      <c r="J41" s="146"/>
      <c r="K41" s="147"/>
    </row>
    <row r="44" spans="3:12">
      <c r="C44" s="148" t="s">
        <v>65</v>
      </c>
      <c r="D44" s="148"/>
      <c r="E44" s="148"/>
      <c r="F44" s="148"/>
      <c r="G44" s="148"/>
      <c r="H44" s="148"/>
      <c r="I44" s="148"/>
      <c r="J44" s="148"/>
      <c r="K44" s="148"/>
      <c r="L44" s="148"/>
    </row>
    <row r="45" spans="3:12">
      <c r="C45" s="148"/>
      <c r="D45" s="148"/>
      <c r="E45" s="148"/>
      <c r="F45" s="148"/>
      <c r="G45" s="148"/>
      <c r="H45" s="148"/>
      <c r="I45" s="148"/>
      <c r="J45" s="148"/>
      <c r="K45" s="148"/>
      <c r="L45" s="148"/>
    </row>
  </sheetData>
  <mergeCells count="36">
    <mergeCell ref="B1:M1"/>
    <mergeCell ref="D39:K41"/>
    <mergeCell ref="C44:L45"/>
    <mergeCell ref="G32:K32"/>
    <mergeCell ref="G33:K33"/>
    <mergeCell ref="G34:K34"/>
    <mergeCell ref="G35:K35"/>
    <mergeCell ref="G36:K36"/>
    <mergeCell ref="G37:K37"/>
    <mergeCell ref="D31:F31"/>
    <mergeCell ref="D32:F32"/>
    <mergeCell ref="D33:F33"/>
    <mergeCell ref="D34:F34"/>
    <mergeCell ref="D35:F35"/>
    <mergeCell ref="D36:F36"/>
    <mergeCell ref="D37:F37"/>
    <mergeCell ref="G31:K31"/>
    <mergeCell ref="G25:K25"/>
    <mergeCell ref="G26:K26"/>
    <mergeCell ref="D27:F27"/>
    <mergeCell ref="G27:K27"/>
    <mergeCell ref="A3:N3"/>
    <mergeCell ref="D20:F20"/>
    <mergeCell ref="D21:F21"/>
    <mergeCell ref="D30:K30"/>
    <mergeCell ref="D19:K19"/>
    <mergeCell ref="G20:K20"/>
    <mergeCell ref="D22:F22"/>
    <mergeCell ref="D23:F23"/>
    <mergeCell ref="D24:F24"/>
    <mergeCell ref="G21:K21"/>
    <mergeCell ref="G22:K22"/>
    <mergeCell ref="G23:K23"/>
    <mergeCell ref="G24:K24"/>
    <mergeCell ref="D25:F25"/>
    <mergeCell ref="D26:F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F1C67-7A97-4B7D-A91D-87D1B6A848EE}">
  <dimension ref="A1:M124"/>
  <sheetViews>
    <sheetView showGridLines="0" zoomScale="102" workbookViewId="0">
      <pane ySplit="3" topLeftCell="A7" activePane="bottomLeft" state="frozen"/>
      <selection pane="bottomLeft" activeCell="E7" sqref="E7:E15"/>
    </sheetView>
  </sheetViews>
  <sheetFormatPr defaultRowHeight="14.5"/>
  <cols>
    <col min="1" max="1" width="34.90625" style="54" customWidth="1"/>
    <col min="2" max="7" width="11.90625" style="11" customWidth="1"/>
    <col min="8" max="16384" width="8.7265625" style="54"/>
  </cols>
  <sheetData>
    <row r="1" spans="1:13" ht="30" customHeight="1">
      <c r="A1" s="151" t="s">
        <v>3</v>
      </c>
      <c r="B1" s="151"/>
      <c r="C1" s="151"/>
      <c r="D1" s="151"/>
      <c r="E1" s="151"/>
      <c r="F1" s="151"/>
      <c r="G1" s="151"/>
    </row>
    <row r="2" spans="1:13" ht="8" customHeight="1" thickBot="1"/>
    <row r="3" spans="1:13" ht="24" customHeight="1" thickBot="1">
      <c r="A3" s="61" t="s">
        <v>0</v>
      </c>
      <c r="B3" s="107">
        <v>44256</v>
      </c>
      <c r="C3" s="107">
        <v>44621</v>
      </c>
      <c r="D3" s="107">
        <v>44986</v>
      </c>
      <c r="E3" s="107">
        <v>45352</v>
      </c>
      <c r="F3" s="107">
        <v>45717</v>
      </c>
      <c r="G3" s="108">
        <v>46082</v>
      </c>
      <c r="I3" s="57"/>
      <c r="K3" s="58"/>
      <c r="M3" s="58"/>
    </row>
    <row r="4" spans="1:13" ht="15" thickBot="1"/>
    <row r="5" spans="1:13" ht="15.5" customHeight="1" thickBot="1">
      <c r="A5" s="59" t="s">
        <v>4</v>
      </c>
      <c r="B5" s="109"/>
      <c r="C5" s="109"/>
      <c r="D5" s="109"/>
      <c r="E5" s="109"/>
      <c r="F5" s="109"/>
      <c r="G5" s="110"/>
    </row>
    <row r="6" spans="1:13" ht="20" customHeight="1" thickBot="1">
      <c r="A6" s="27" t="s">
        <v>117</v>
      </c>
      <c r="B6" s="118">
        <v>135979.03</v>
      </c>
      <c r="C6" s="118">
        <v>156521.23000000001</v>
      </c>
      <c r="D6" s="118">
        <v>183340.7</v>
      </c>
      <c r="E6" s="118">
        <v>221112.91</v>
      </c>
      <c r="F6" s="118">
        <v>255734.45</v>
      </c>
      <c r="G6" s="119">
        <v>285874.36</v>
      </c>
    </row>
    <row r="7" spans="1:13" ht="20" customHeight="1" thickBot="1">
      <c r="A7" s="16" t="s">
        <v>118</v>
      </c>
      <c r="B7" s="118">
        <v>112518.78999999998</v>
      </c>
      <c r="C7" s="120">
        <v>132207.34</v>
      </c>
      <c r="D7" s="118">
        <v>156174.67999999996</v>
      </c>
      <c r="E7" s="118">
        <v>192354.79</v>
      </c>
      <c r="F7" s="118">
        <v>221307.55000000002</v>
      </c>
      <c r="G7" s="119">
        <v>250463.66000000003</v>
      </c>
    </row>
    <row r="8" spans="1:13" ht="20" customHeight="1" thickBot="1">
      <c r="A8" s="27" t="s">
        <v>119</v>
      </c>
      <c r="B8" s="118">
        <v>23460.24000000002</v>
      </c>
      <c r="C8" s="120">
        <v>24313.890000000014</v>
      </c>
      <c r="D8" s="118">
        <v>27166.020000000048</v>
      </c>
      <c r="E8" s="118">
        <v>28758.119999999995</v>
      </c>
      <c r="F8" s="118">
        <v>34426.899999999994</v>
      </c>
      <c r="G8" s="119">
        <v>35410.699999999953</v>
      </c>
    </row>
    <row r="9" spans="1:13" ht="20" customHeight="1" thickBot="1">
      <c r="A9" s="16" t="s">
        <v>120</v>
      </c>
      <c r="B9" s="118">
        <v>8111.25</v>
      </c>
      <c r="C9" s="120">
        <v>2364.0100000000002</v>
      </c>
      <c r="D9" s="118">
        <v>2890.7</v>
      </c>
      <c r="E9" s="118">
        <v>4953.49</v>
      </c>
      <c r="F9" s="118">
        <v>3197.85</v>
      </c>
      <c r="G9" s="119">
        <v>4985.8</v>
      </c>
    </row>
    <row r="10" spans="1:13" ht="20" customHeight="1" thickBot="1">
      <c r="A10" s="16" t="s">
        <v>1</v>
      </c>
      <c r="B10" s="118">
        <v>2904.21</v>
      </c>
      <c r="C10" s="120">
        <v>2947.95</v>
      </c>
      <c r="D10" s="118">
        <v>3502.25</v>
      </c>
      <c r="E10" s="118">
        <v>3682.33</v>
      </c>
      <c r="F10" s="118">
        <v>4121.18</v>
      </c>
      <c r="G10" s="119">
        <v>4364.75</v>
      </c>
    </row>
    <row r="11" spans="1:13" ht="20" customHeight="1" thickBot="1">
      <c r="A11" s="16" t="s">
        <v>121</v>
      </c>
      <c r="B11" s="118">
        <v>11749.58</v>
      </c>
      <c r="C11" s="120">
        <v>9234.98</v>
      </c>
      <c r="D11" s="118">
        <v>9445.44</v>
      </c>
      <c r="E11" s="118">
        <v>9512.17</v>
      </c>
      <c r="F11" s="118">
        <v>9924.7800000000007</v>
      </c>
      <c r="G11" s="119">
        <v>10055.94</v>
      </c>
    </row>
    <row r="12" spans="1:13" ht="20" customHeight="1" thickBot="1">
      <c r="A12" s="16" t="s">
        <v>122</v>
      </c>
      <c r="B12" s="118">
        <v>16917.7</v>
      </c>
      <c r="C12" s="120">
        <v>14494.97</v>
      </c>
      <c r="D12" s="118">
        <v>17109.03</v>
      </c>
      <c r="E12" s="118">
        <v>20517.11</v>
      </c>
      <c r="F12" s="118">
        <v>23578.79</v>
      </c>
      <c r="G12" s="119">
        <v>25975.81</v>
      </c>
    </row>
    <row r="13" spans="1:13" ht="20" customHeight="1" thickBot="1">
      <c r="A13" s="16" t="s">
        <v>2</v>
      </c>
      <c r="B13" s="118">
        <v>4010.82</v>
      </c>
      <c r="C13" s="120">
        <v>4203.92</v>
      </c>
      <c r="D13" s="118">
        <v>4484.16</v>
      </c>
      <c r="E13" s="118">
        <v>4947.3900000000003</v>
      </c>
      <c r="F13" s="118">
        <v>5891.4</v>
      </c>
      <c r="G13" s="119">
        <v>6816.41</v>
      </c>
    </row>
    <row r="14" spans="1:13" ht="20" customHeight="1" thickBot="1">
      <c r="A14" s="27" t="s">
        <v>123</v>
      </c>
      <c r="B14" s="118">
        <v>11582.93</v>
      </c>
      <c r="C14" s="120">
        <v>8669.33</v>
      </c>
      <c r="D14" s="118">
        <v>10470.719999999999</v>
      </c>
      <c r="E14" s="118">
        <v>13059.11</v>
      </c>
      <c r="F14" s="118">
        <v>15037.11</v>
      </c>
      <c r="G14" s="119">
        <v>16083.99</v>
      </c>
    </row>
    <row r="15" spans="1:13" ht="20" customHeight="1" thickBot="1">
      <c r="A15" s="19" t="s">
        <v>124</v>
      </c>
      <c r="B15" s="106">
        <v>82.464260287626374</v>
      </c>
      <c r="C15" s="105">
        <v>61.703416370106758</v>
      </c>
      <c r="D15" s="106">
        <v>74.498185699039482</v>
      </c>
      <c r="E15" s="106">
        <v>94.996071870226231</v>
      </c>
      <c r="F15" s="106">
        <v>109.34489528795811</v>
      </c>
      <c r="G15" s="112">
        <v>116.92345158476301</v>
      </c>
    </row>
    <row r="16" spans="1:13" ht="20" customHeight="1" thickBot="1">
      <c r="A16" s="60"/>
      <c r="C16" s="1"/>
    </row>
    <row r="17" spans="1:7" ht="15.5" customHeight="1" thickBot="1">
      <c r="A17" s="62" t="s">
        <v>125</v>
      </c>
      <c r="B17" s="113"/>
      <c r="C17" s="113"/>
      <c r="D17" s="113"/>
      <c r="E17" s="113"/>
      <c r="F17" s="113"/>
      <c r="G17" s="114"/>
    </row>
    <row r="18" spans="1:7" ht="20" customHeight="1" thickBot="1">
      <c r="A18" s="51" t="s">
        <v>130</v>
      </c>
      <c r="B18" s="118">
        <v>280.91000000000003</v>
      </c>
      <c r="C18" s="118">
        <v>281.01</v>
      </c>
      <c r="D18" s="118">
        <v>281.10000000000002</v>
      </c>
      <c r="E18" s="118">
        <v>274.93</v>
      </c>
      <c r="F18" s="118">
        <v>275.04000000000002</v>
      </c>
      <c r="G18" s="119">
        <v>275.13</v>
      </c>
    </row>
    <row r="19" spans="1:7" ht="20" customHeight="1" thickBot="1">
      <c r="A19" s="51" t="s">
        <v>131</v>
      </c>
      <c r="B19" s="118">
        <v>75587.62</v>
      </c>
      <c r="C19" s="118">
        <v>82126.649999999994</v>
      </c>
      <c r="D19" s="118">
        <v>89044.85</v>
      </c>
      <c r="E19" s="118">
        <v>86084.31</v>
      </c>
      <c r="F19" s="118">
        <v>97380.56</v>
      </c>
      <c r="G19" s="119">
        <v>109014.67</v>
      </c>
    </row>
    <row r="20" spans="1:7" ht="20" customHeight="1" thickBot="1">
      <c r="A20" s="51" t="s">
        <v>132</v>
      </c>
      <c r="B20" s="118">
        <v>134629.07999999999</v>
      </c>
      <c r="C20" s="118">
        <v>125508.08</v>
      </c>
      <c r="D20" s="118">
        <v>120650.44</v>
      </c>
      <c r="E20" s="118">
        <v>116322.22</v>
      </c>
      <c r="F20" s="118">
        <v>132408.92000000001</v>
      </c>
      <c r="G20" s="119">
        <v>125496.59</v>
      </c>
    </row>
    <row r="21" spans="1:7" ht="20" customHeight="1" thickBot="1">
      <c r="A21" s="51" t="s">
        <v>133</v>
      </c>
      <c r="B21" s="118">
        <v>99597.440000000002</v>
      </c>
      <c r="C21" s="118">
        <v>111112.17</v>
      </c>
      <c r="D21" s="118">
        <v>119745.49</v>
      </c>
      <c r="E21" s="118">
        <v>136920.88</v>
      </c>
      <c r="F21" s="118">
        <v>149049.57</v>
      </c>
      <c r="G21" s="119">
        <v>217596.38</v>
      </c>
    </row>
    <row r="22" spans="1:7" ht="20" customHeight="1" thickBot="1">
      <c r="A22" s="63" t="s">
        <v>134</v>
      </c>
      <c r="B22" s="118">
        <v>310095.05</v>
      </c>
      <c r="C22" s="118">
        <v>319027.90999999997</v>
      </c>
      <c r="D22" s="118">
        <v>329721.88</v>
      </c>
      <c r="E22" s="118">
        <v>339602.34</v>
      </c>
      <c r="F22" s="118">
        <v>379114.09</v>
      </c>
      <c r="G22" s="119">
        <v>452382.77</v>
      </c>
    </row>
    <row r="23" spans="1:7" ht="20" customHeight="1" thickBot="1">
      <c r="A23" s="63"/>
      <c r="B23" s="118"/>
      <c r="C23" s="118"/>
      <c r="D23" s="118"/>
      <c r="E23" s="118"/>
      <c r="F23" s="118"/>
      <c r="G23" s="119"/>
    </row>
    <row r="24" spans="1:7" ht="20" customHeight="1" thickBot="1">
      <c r="A24" s="51" t="s">
        <v>135</v>
      </c>
      <c r="B24" s="118">
        <v>44319.32</v>
      </c>
      <c r="C24" s="118">
        <v>42945.01</v>
      </c>
      <c r="D24" s="118">
        <v>42641</v>
      </c>
      <c r="E24" s="118">
        <v>42963.82</v>
      </c>
      <c r="F24" s="118">
        <v>44055.45</v>
      </c>
      <c r="G24" s="119">
        <v>30866.91</v>
      </c>
    </row>
    <row r="25" spans="1:7" ht="20" customHeight="1" thickBot="1">
      <c r="A25" s="51" t="s">
        <v>136</v>
      </c>
      <c r="B25" s="118">
        <v>500.39</v>
      </c>
      <c r="C25" s="118">
        <v>1249.55</v>
      </c>
      <c r="D25" s="118">
        <v>3065.57</v>
      </c>
      <c r="E25" s="118">
        <v>3045.01</v>
      </c>
      <c r="F25" s="118">
        <v>2588.6799999999998</v>
      </c>
      <c r="G25" s="119">
        <v>3310.95</v>
      </c>
    </row>
    <row r="26" spans="1:7" ht="20" customHeight="1" thickBot="1">
      <c r="A26" s="51" t="s">
        <v>137</v>
      </c>
      <c r="B26" s="118">
        <v>39626.629999999997</v>
      </c>
      <c r="C26" s="118">
        <v>39395.18</v>
      </c>
      <c r="D26" s="118">
        <v>44798.31</v>
      </c>
      <c r="E26" s="118">
        <v>45647.82</v>
      </c>
      <c r="F26" s="118">
        <v>54805.27</v>
      </c>
      <c r="G26" s="119">
        <v>68376.789999999994</v>
      </c>
    </row>
    <row r="27" spans="1:7" ht="20" customHeight="1" thickBot="1">
      <c r="A27" s="51" t="s">
        <v>138</v>
      </c>
      <c r="B27" s="118">
        <v>225648.71</v>
      </c>
      <c r="C27" s="118">
        <v>235438.17</v>
      </c>
      <c r="D27" s="118">
        <v>239217</v>
      </c>
      <c r="E27" s="118">
        <v>247945.69</v>
      </c>
      <c r="F27" s="118">
        <v>277664.69</v>
      </c>
      <c r="G27" s="119">
        <v>349828.12</v>
      </c>
    </row>
    <row r="28" spans="1:7" ht="15.5" customHeight="1" thickBot="1">
      <c r="A28" s="63" t="s">
        <v>134</v>
      </c>
      <c r="B28" s="118">
        <v>310095.05</v>
      </c>
      <c r="C28" s="118">
        <v>319027.90999999997</v>
      </c>
      <c r="D28" s="118">
        <v>329721.88</v>
      </c>
      <c r="E28" s="118">
        <v>339602.34</v>
      </c>
      <c r="F28" s="118">
        <v>379114.09</v>
      </c>
      <c r="G28" s="119">
        <v>452382.77</v>
      </c>
    </row>
    <row r="29" spans="1:7" ht="20" customHeight="1" thickBot="1">
      <c r="A29" s="51"/>
      <c r="B29" s="118"/>
      <c r="C29" s="118"/>
      <c r="D29" s="118"/>
      <c r="E29" s="118"/>
      <c r="F29" s="118"/>
      <c r="G29" s="119"/>
    </row>
    <row r="30" spans="1:7" ht="20" customHeight="1" thickBot="1">
      <c r="A30" s="51" t="s">
        <v>139</v>
      </c>
      <c r="B30" s="118">
        <v>126051.26999999999</v>
      </c>
      <c r="C30" s="118">
        <v>124326.00000000001</v>
      </c>
      <c r="D30" s="118">
        <v>119471.51</v>
      </c>
      <c r="E30" s="118">
        <v>111024.81</v>
      </c>
      <c r="F30" s="118">
        <v>128615.12</v>
      </c>
      <c r="G30" s="119">
        <v>132231.74</v>
      </c>
    </row>
    <row r="31" spans="1:7" ht="20" customHeight="1" thickBot="1">
      <c r="A31" s="51" t="s">
        <v>140</v>
      </c>
      <c r="B31" s="118">
        <v>42229.78</v>
      </c>
      <c r="C31" s="118">
        <v>46139.32</v>
      </c>
      <c r="D31" s="118">
        <v>44731.53</v>
      </c>
      <c r="E31" s="118">
        <v>48770.95</v>
      </c>
      <c r="F31" s="118">
        <v>53713.68</v>
      </c>
      <c r="G31" s="119">
        <v>60461.26</v>
      </c>
    </row>
    <row r="32" spans="1:7" ht="20" customHeight="1" thickBot="1">
      <c r="A32" s="51" t="s">
        <v>141</v>
      </c>
      <c r="B32" s="118">
        <v>5820.54</v>
      </c>
      <c r="C32" s="118">
        <v>5943.32</v>
      </c>
      <c r="D32" s="118">
        <v>6828.78</v>
      </c>
      <c r="E32" s="118">
        <v>6620.19</v>
      </c>
      <c r="F32" s="118">
        <v>7670.55</v>
      </c>
      <c r="G32" s="119">
        <v>9530.93</v>
      </c>
    </row>
    <row r="33" spans="1:7" ht="20" customHeight="1" thickBot="1">
      <c r="A33" s="64"/>
      <c r="B33" s="118"/>
      <c r="C33" s="118"/>
      <c r="D33" s="118"/>
      <c r="E33" s="118"/>
      <c r="F33" s="118"/>
      <c r="G33" s="119"/>
    </row>
    <row r="34" spans="1:7" ht="20" customHeight="1" thickBot="1">
      <c r="A34" s="65" t="s">
        <v>142</v>
      </c>
      <c r="B34" s="118">
        <v>42229.78</v>
      </c>
      <c r="C34" s="118">
        <v>46139.32</v>
      </c>
      <c r="D34" s="118">
        <v>44731.53</v>
      </c>
      <c r="E34" s="118">
        <v>48770.95</v>
      </c>
      <c r="F34" s="118">
        <v>53713.68</v>
      </c>
      <c r="G34" s="119">
        <v>60461.26</v>
      </c>
    </row>
    <row r="35" spans="1:7" ht="20" customHeight="1" thickBot="1">
      <c r="A35" s="65" t="s">
        <v>141</v>
      </c>
      <c r="B35" s="118">
        <v>5820.54</v>
      </c>
      <c r="C35" s="118">
        <v>5943.32</v>
      </c>
      <c r="D35" s="118">
        <v>6828.78</v>
      </c>
      <c r="E35" s="118">
        <v>6620.19</v>
      </c>
      <c r="F35" s="118">
        <v>7670.55</v>
      </c>
      <c r="G35" s="119">
        <v>9530.93</v>
      </c>
    </row>
    <row r="36" spans="1:7" ht="20" customHeight="1" thickBot="1">
      <c r="A36" s="66" t="s">
        <v>143</v>
      </c>
      <c r="B36" s="118">
        <v>16241.5</v>
      </c>
      <c r="C36" s="118">
        <v>18953.169999999998</v>
      </c>
      <c r="D36" s="118">
        <v>22519.599999999999</v>
      </c>
      <c r="E36" s="118">
        <v>15358.39</v>
      </c>
      <c r="F36" s="118">
        <v>22965.34</v>
      </c>
      <c r="G36" s="119">
        <v>20847.669999999998</v>
      </c>
    </row>
    <row r="37" spans="1:7" ht="20" customHeight="1" thickBot="1">
      <c r="A37" s="66" t="s">
        <v>144</v>
      </c>
      <c r="B37" s="104">
        <v>1404555297</v>
      </c>
      <c r="C37" s="104">
        <v>1405029123</v>
      </c>
      <c r="D37" s="104">
        <v>1405482190</v>
      </c>
      <c r="E37" s="104">
        <v>1374668619</v>
      </c>
      <c r="F37" s="104">
        <v>1375192165</v>
      </c>
      <c r="G37" s="111">
        <v>1375632190</v>
      </c>
    </row>
    <row r="38" spans="1:7" ht="20" customHeight="1" thickBot="1">
      <c r="A38" s="67" t="s">
        <v>145</v>
      </c>
      <c r="B38" s="115">
        <v>2</v>
      </c>
      <c r="C38" s="115">
        <v>2</v>
      </c>
      <c r="D38" s="115">
        <v>2</v>
      </c>
      <c r="E38" s="115">
        <v>2</v>
      </c>
      <c r="F38" s="115">
        <v>2</v>
      </c>
      <c r="G38" s="116">
        <v>2</v>
      </c>
    </row>
    <row r="39" spans="1:7" ht="20" customHeight="1" thickBot="1">
      <c r="A39" s="56"/>
    </row>
    <row r="40" spans="1:7" ht="15.5" customHeight="1" thickBot="1">
      <c r="A40" s="68" t="s">
        <v>146</v>
      </c>
      <c r="B40" s="113"/>
      <c r="C40" s="113"/>
      <c r="D40" s="113"/>
      <c r="E40" s="113"/>
      <c r="F40" s="113"/>
      <c r="G40" s="114"/>
    </row>
    <row r="41" spans="1:7" ht="20" customHeight="1" thickBot="1">
      <c r="A41" s="63" t="s">
        <v>126</v>
      </c>
      <c r="B41" s="118">
        <v>23073.82</v>
      </c>
      <c r="C41" s="118">
        <v>19163.580000000002</v>
      </c>
      <c r="D41" s="118">
        <v>22776.959999999999</v>
      </c>
      <c r="E41" s="118">
        <v>18266.28</v>
      </c>
      <c r="F41" s="118">
        <v>9151.35</v>
      </c>
      <c r="G41" s="119">
        <v>16740.97</v>
      </c>
    </row>
    <row r="42" spans="1:7" ht="20" customHeight="1" thickBot="1">
      <c r="A42" s="51" t="s">
        <v>127</v>
      </c>
      <c r="B42" s="118">
        <v>-5750.49</v>
      </c>
      <c r="C42" s="118">
        <v>-3585.38</v>
      </c>
      <c r="D42" s="118">
        <v>-8048.02</v>
      </c>
      <c r="E42" s="118">
        <v>2178.89</v>
      </c>
      <c r="F42" s="118">
        <v>-15479.47</v>
      </c>
      <c r="G42" s="119">
        <v>-11380.3</v>
      </c>
    </row>
    <row r="43" spans="1:7" ht="20" customHeight="1" thickBot="1">
      <c r="A43" s="51" t="s">
        <v>128</v>
      </c>
      <c r="B43" s="118">
        <v>-15274.38</v>
      </c>
      <c r="C43" s="118">
        <v>-15181.48</v>
      </c>
      <c r="D43" s="118">
        <v>-11572.49</v>
      </c>
      <c r="E43" s="118">
        <v>-25413.360000000001</v>
      </c>
      <c r="F43" s="118">
        <v>6556.62</v>
      </c>
      <c r="G43" s="119">
        <v>-2156.4299999999998</v>
      </c>
    </row>
    <row r="44" spans="1:7" ht="20" customHeight="1" thickBot="1">
      <c r="A44" s="69" t="s">
        <v>129</v>
      </c>
      <c r="B44" s="121">
        <v>2048.9499999999998</v>
      </c>
      <c r="C44" s="121">
        <v>396.72</v>
      </c>
      <c r="D44" s="121">
        <v>3156.45</v>
      </c>
      <c r="E44" s="121">
        <v>-4968.1899999999996</v>
      </c>
      <c r="F44" s="121">
        <v>228.5</v>
      </c>
      <c r="G44" s="122">
        <v>3204.24</v>
      </c>
    </row>
    <row r="45" spans="1:7" ht="20" customHeight="1">
      <c r="A45" s="56"/>
    </row>
    <row r="46" spans="1:7" ht="20" customHeight="1">
      <c r="A46" s="56"/>
    </row>
    <row r="47" spans="1:7" ht="20" customHeight="1">
      <c r="A47" s="56"/>
    </row>
    <row r="48" spans="1:7" ht="20" customHeight="1">
      <c r="A48" s="56"/>
    </row>
    <row r="49" spans="1:1" ht="20" customHeight="1">
      <c r="A49" s="56"/>
    </row>
    <row r="50" spans="1:1" ht="20" customHeight="1">
      <c r="A50" s="56"/>
    </row>
    <row r="51" spans="1:1" ht="20" customHeight="1">
      <c r="A51" s="56"/>
    </row>
    <row r="52" spans="1:1" ht="20" customHeight="1">
      <c r="A52" s="56"/>
    </row>
    <row r="53" spans="1:1" ht="20" customHeight="1">
      <c r="A53" s="56"/>
    </row>
    <row r="54" spans="1:1" ht="20" customHeight="1">
      <c r="A54" s="56"/>
    </row>
    <row r="55" spans="1:1" ht="20" customHeight="1">
      <c r="A55" s="56"/>
    </row>
    <row r="56" spans="1:1" ht="20" customHeight="1">
      <c r="A56" s="56"/>
    </row>
    <row r="57" spans="1:1" ht="20" customHeight="1">
      <c r="A57" s="56"/>
    </row>
    <row r="58" spans="1:1" ht="20" customHeight="1">
      <c r="A58" s="56"/>
    </row>
    <row r="59" spans="1:1" ht="20" customHeight="1">
      <c r="A59" s="56"/>
    </row>
    <row r="60" spans="1:1" ht="20" customHeight="1">
      <c r="A60" s="56"/>
    </row>
    <row r="61" spans="1:1" ht="20" customHeight="1">
      <c r="A61" s="56"/>
    </row>
    <row r="62" spans="1:1" ht="20" customHeight="1">
      <c r="A62" s="56"/>
    </row>
    <row r="63" spans="1:1" ht="20" customHeight="1">
      <c r="A63" s="56"/>
    </row>
    <row r="64" spans="1:1" ht="20" customHeight="1">
      <c r="A64" s="56"/>
    </row>
    <row r="65" spans="1:7" ht="20" customHeight="1">
      <c r="A65" s="56"/>
    </row>
    <row r="66" spans="1:7" ht="20" customHeight="1">
      <c r="A66" s="56"/>
    </row>
    <row r="67" spans="1:7" ht="20" customHeight="1">
      <c r="A67" s="56"/>
    </row>
    <row r="68" spans="1:7" ht="20" customHeight="1">
      <c r="A68" s="56"/>
    </row>
    <row r="69" spans="1:7" ht="20" customHeight="1">
      <c r="A69" s="56"/>
    </row>
    <row r="70" spans="1:7" ht="20" customHeight="1">
      <c r="A70" s="56"/>
    </row>
    <row r="71" spans="1:7" ht="20" customHeight="1">
      <c r="A71" s="56"/>
    </row>
    <row r="72" spans="1:7" ht="20" customHeight="1">
      <c r="A72" s="56"/>
    </row>
    <row r="73" spans="1:7" ht="20" customHeight="1">
      <c r="A73" s="56"/>
    </row>
    <row r="74" spans="1:7" ht="20" customHeight="1">
      <c r="A74" s="56"/>
    </row>
    <row r="75" spans="1:7" ht="20" customHeight="1">
      <c r="A75" s="56"/>
    </row>
    <row r="76" spans="1:7" ht="20" customHeight="1">
      <c r="A76" s="56"/>
    </row>
    <row r="77" spans="1:7" ht="20" customHeight="1">
      <c r="A77" s="56"/>
    </row>
    <row r="78" spans="1:7" ht="20" customHeight="1">
      <c r="A78" s="56"/>
    </row>
    <row r="80" spans="1:7" ht="15.5" customHeight="1">
      <c r="A80" s="55"/>
      <c r="B80" s="117"/>
      <c r="C80" s="117"/>
      <c r="D80" s="117"/>
      <c r="E80" s="117"/>
      <c r="F80" s="117"/>
      <c r="G80" s="117"/>
    </row>
    <row r="81" spans="1:1">
      <c r="A81" s="56"/>
    </row>
    <row r="82" spans="1:1">
      <c r="A82" s="56"/>
    </row>
    <row r="83" spans="1:1">
      <c r="A83" s="56"/>
    </row>
    <row r="84" spans="1:1">
      <c r="A84" s="56"/>
    </row>
    <row r="85" spans="1:1">
      <c r="A85" s="56"/>
    </row>
    <row r="86" spans="1:1">
      <c r="A86" s="56"/>
    </row>
    <row r="87" spans="1:1">
      <c r="A87" s="56"/>
    </row>
    <row r="88" spans="1:1">
      <c r="A88" s="56"/>
    </row>
    <row r="89" spans="1:1">
      <c r="A89" s="56"/>
    </row>
    <row r="90" spans="1:1">
      <c r="A90" s="56"/>
    </row>
    <row r="91" spans="1:1">
      <c r="A91" s="56"/>
    </row>
    <row r="92" spans="1:1">
      <c r="A92" s="56"/>
    </row>
    <row r="93" spans="1:1">
      <c r="A93" s="56"/>
    </row>
    <row r="94" spans="1:1">
      <c r="A94" s="56"/>
    </row>
    <row r="95" spans="1:1">
      <c r="A95" s="56"/>
    </row>
    <row r="96" spans="1:1">
      <c r="A96" s="56"/>
    </row>
    <row r="97" spans="1:1">
      <c r="A97" s="56"/>
    </row>
    <row r="98" spans="1:1">
      <c r="A98" s="56"/>
    </row>
    <row r="99" spans="1:1">
      <c r="A99" s="56"/>
    </row>
    <row r="100" spans="1:1">
      <c r="A100" s="56"/>
    </row>
    <row r="101" spans="1:1">
      <c r="A101" s="56"/>
    </row>
    <row r="102" spans="1:1">
      <c r="A102" s="56"/>
    </row>
    <row r="103" spans="1:1">
      <c r="A103" s="56"/>
    </row>
    <row r="104" spans="1:1">
      <c r="A104" s="56"/>
    </row>
    <row r="105" spans="1:1">
      <c r="A105" s="56"/>
    </row>
    <row r="106" spans="1:1">
      <c r="A106" s="56"/>
    </row>
    <row r="107" spans="1:1">
      <c r="A107" s="56"/>
    </row>
    <row r="108" spans="1:1">
      <c r="A108" s="56"/>
    </row>
    <row r="109" spans="1:1">
      <c r="A109" s="56"/>
    </row>
    <row r="110" spans="1:1">
      <c r="A110" s="56"/>
    </row>
    <row r="111" spans="1:1">
      <c r="A111" s="56"/>
    </row>
    <row r="112" spans="1:1">
      <c r="A112" s="56"/>
    </row>
    <row r="113" spans="1:1">
      <c r="A113" s="56"/>
    </row>
    <row r="114" spans="1:1">
      <c r="A114" s="56"/>
    </row>
    <row r="115" spans="1:1">
      <c r="A115" s="56"/>
    </row>
    <row r="116" spans="1:1">
      <c r="A116" s="56"/>
    </row>
    <row r="117" spans="1:1">
      <c r="A117" s="56"/>
    </row>
    <row r="118" spans="1:1">
      <c r="A118" s="56"/>
    </row>
    <row r="119" spans="1:1">
      <c r="A119" s="56"/>
    </row>
    <row r="120" spans="1:1">
      <c r="A120" s="56"/>
    </row>
    <row r="121" spans="1:1">
      <c r="A121" s="56"/>
    </row>
    <row r="122" spans="1:1">
      <c r="A122" s="56"/>
    </row>
    <row r="123" spans="1:1">
      <c r="A123" s="56"/>
    </row>
    <row r="124" spans="1:1">
      <c r="A124" s="56"/>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A03ED-4F25-4E02-8971-07B8D48FB376}">
  <sheetPr codeName="Sheet3"/>
  <dimension ref="A1:H48"/>
  <sheetViews>
    <sheetView showGridLines="0" zoomScale="80" zoomScaleNormal="80" workbookViewId="0">
      <pane ySplit="3" topLeftCell="A4" activePane="bottomLeft" state="frozen"/>
      <selection pane="bottomLeft" activeCell="B5" sqref="B5"/>
    </sheetView>
  </sheetViews>
  <sheetFormatPr defaultRowHeight="14.5"/>
  <cols>
    <col min="1" max="1" width="34" style="2" bestFit="1" customWidth="1"/>
    <col min="2" max="2" width="29" style="1" customWidth="1"/>
    <col min="3" max="7" width="14.6328125" style="2" customWidth="1"/>
    <col min="8" max="8" width="98.90625" style="2" customWidth="1"/>
    <col min="9" max="16384" width="8.7265625" style="2"/>
  </cols>
  <sheetData>
    <row r="1" spans="1:8" s="10" customFormat="1" ht="30" customHeight="1">
      <c r="A1" s="151" t="s">
        <v>31</v>
      </c>
      <c r="B1" s="151"/>
      <c r="C1" s="151"/>
      <c r="D1" s="151"/>
      <c r="E1" s="151"/>
      <c r="F1" s="151"/>
      <c r="G1" s="151"/>
      <c r="H1" s="151"/>
    </row>
    <row r="2" spans="1:8" ht="8" customHeight="1" thickBot="1"/>
    <row r="3" spans="1:8" s="3" customFormat="1" ht="24" customHeight="1" thickBot="1">
      <c r="A3" s="38" t="s">
        <v>5</v>
      </c>
      <c r="B3" s="39" t="s">
        <v>6</v>
      </c>
      <c r="C3" s="41">
        <v>44621</v>
      </c>
      <c r="D3" s="41">
        <v>44986</v>
      </c>
      <c r="E3" s="41">
        <v>45352</v>
      </c>
      <c r="F3" s="41">
        <v>45717</v>
      </c>
      <c r="G3" s="41">
        <v>46082</v>
      </c>
      <c r="H3" s="40" t="s">
        <v>7</v>
      </c>
    </row>
    <row r="4" spans="1:8" s="10" customFormat="1" ht="22" customHeight="1" thickBot="1">
      <c r="A4" s="155" t="s">
        <v>8</v>
      </c>
      <c r="B4" s="156"/>
      <c r="C4" s="156"/>
      <c r="D4" s="156"/>
      <c r="E4" s="156"/>
      <c r="F4" s="156"/>
      <c r="G4" s="156"/>
      <c r="H4" s="157"/>
    </row>
    <row r="5" spans="1:8" ht="45" customHeight="1" thickBot="1">
      <c r="A5" s="16" t="s">
        <v>9</v>
      </c>
      <c r="B5" s="70" t="s">
        <v>10</v>
      </c>
      <c r="C5" s="42">
        <f>'Raw Data'!C8/'Raw Data'!C6</f>
        <v>0.15533924695071724</v>
      </c>
      <c r="D5" s="42">
        <f>'Raw Data'!D8/'Raw Data'!D6</f>
        <v>0.14817233707518324</v>
      </c>
      <c r="E5" s="42">
        <f>'Raw Data'!E8/'Raw Data'!E6</f>
        <v>0.13006079111346322</v>
      </c>
      <c r="F5" s="42">
        <f>'Raw Data'!F8/'Raw Data'!F6</f>
        <v>0.1346197197913695</v>
      </c>
      <c r="G5" s="42">
        <f>'Raw Data'!G8/'Raw Data'!G6</f>
        <v>0.12386805168536261</v>
      </c>
      <c r="H5" s="79" t="s">
        <v>171</v>
      </c>
    </row>
    <row r="6" spans="1:8" ht="45" customHeight="1" thickBot="1">
      <c r="A6" s="16" t="s">
        <v>11</v>
      </c>
      <c r="B6" s="70" t="s">
        <v>12</v>
      </c>
      <c r="C6" s="42">
        <f>'Raw Data'!C14/'Raw Data'!C6</f>
        <v>5.5387566274555849E-2</v>
      </c>
      <c r="D6" s="42">
        <f>'Raw Data'!D14/'Raw Data'!D6</f>
        <v>5.7110723369115525E-2</v>
      </c>
      <c r="E6" s="42">
        <f>'Raw Data'!E14/'Raw Data'!E6</f>
        <v>5.9060821007692409E-2</v>
      </c>
      <c r="F6" s="42">
        <f>'Raw Data'!F14/'Raw Data'!F6</f>
        <v>5.8799704146234505E-2</v>
      </c>
      <c r="G6" s="42">
        <f>'Raw Data'!G14/'Raw Data'!G6</f>
        <v>5.6262443403458783E-2</v>
      </c>
      <c r="H6" s="79" t="s">
        <v>170</v>
      </c>
    </row>
    <row r="7" spans="1:8" ht="45" customHeight="1" thickBot="1">
      <c r="A7" s="16" t="s">
        <v>13</v>
      </c>
      <c r="B7" s="70" t="s">
        <v>14</v>
      </c>
      <c r="C7" s="42">
        <f>'Raw Data'!C14/'Financial Ratios'!C29</f>
        <v>0.10520053596959313</v>
      </c>
      <c r="D7" s="42">
        <f>'Raw Data'!D14/'Financial Ratios'!D29</f>
        <v>0.11721924032154148</v>
      </c>
      <c r="E7" s="42">
        <f>'Raw Data'!E14/'Financial Ratios'!E29</f>
        <v>0.15121844518316746</v>
      </c>
      <c r="F7" s="42">
        <f>'Raw Data'!F14/'Financial Ratios'!F29</f>
        <v>0.15398103129774435</v>
      </c>
      <c r="G7" s="42">
        <f>'Raw Data'!G14/'Financial Ratios'!G29</f>
        <v>0.14716826272900124</v>
      </c>
      <c r="H7" s="79" t="s">
        <v>169</v>
      </c>
    </row>
    <row r="8" spans="1:8" ht="45" customHeight="1" thickBot="1">
      <c r="A8" s="16" t="s">
        <v>15</v>
      </c>
      <c r="B8" s="70" t="s">
        <v>16</v>
      </c>
      <c r="C8" s="42">
        <f>'Raw Data'!C14/'Raw Data'!C28</f>
        <v>2.7174205542079378E-2</v>
      </c>
      <c r="D8" s="42">
        <f>'Raw Data'!D14/'Raw Data'!D28</f>
        <v>3.1756218301315031E-2</v>
      </c>
      <c r="E8" s="42">
        <f>'Raw Data'!E14/'Raw Data'!E28</f>
        <v>3.8454122548154411E-2</v>
      </c>
      <c r="F8" s="42">
        <f>'Raw Data'!F14/'Raw Data'!F28</f>
        <v>3.9663812020281283E-2</v>
      </c>
      <c r="G8" s="42">
        <f>'Raw Data'!G14/'Raw Data'!G28</f>
        <v>3.5553940305905106E-2</v>
      </c>
      <c r="H8" s="43" t="s">
        <v>168</v>
      </c>
    </row>
    <row r="9" spans="1:8" ht="45" customHeight="1" thickBot="1">
      <c r="A9" s="19" t="s">
        <v>17</v>
      </c>
      <c r="B9" s="71" t="s">
        <v>18</v>
      </c>
      <c r="C9" s="44">
        <f>C30/C31</f>
        <v>0.12831111295373798</v>
      </c>
      <c r="D9" s="44">
        <f t="shared" ref="D9:G9" si="0">D30/D31</f>
        <v>0.14314333149550787</v>
      </c>
      <c r="E9" s="44">
        <f t="shared" si="0"/>
        <v>0.16632804006839103</v>
      </c>
      <c r="F9" s="44">
        <f t="shared" si="0"/>
        <v>0.16353999304195183</v>
      </c>
      <c r="G9" s="44">
        <f t="shared" si="0"/>
        <v>0.1720563956028284</v>
      </c>
      <c r="H9" s="76" t="s">
        <v>167</v>
      </c>
    </row>
    <row r="10" spans="1:8">
      <c r="A10" s="10"/>
      <c r="C10" s="7"/>
      <c r="D10" s="7"/>
      <c r="E10" s="7"/>
      <c r="F10" s="7"/>
      <c r="G10" s="7"/>
      <c r="H10" s="103"/>
    </row>
    <row r="11" spans="1:8" ht="22" customHeight="1" thickBot="1">
      <c r="A11" s="158" t="s">
        <v>19</v>
      </c>
      <c r="B11" s="159"/>
      <c r="C11" s="159"/>
      <c r="D11" s="159"/>
      <c r="E11" s="159"/>
      <c r="F11" s="159"/>
      <c r="G11" s="159"/>
      <c r="H11" s="160"/>
    </row>
    <row r="12" spans="1:8" ht="45" customHeight="1" thickBot="1">
      <c r="A12" s="45" t="s">
        <v>20</v>
      </c>
      <c r="B12" s="70" t="s">
        <v>21</v>
      </c>
      <c r="C12" s="46">
        <f>'Raw Data'!C20/'Financial Ratios'!C29</f>
        <v>1.5230147294559755</v>
      </c>
      <c r="D12" s="46">
        <f>'Raw Data'!D20/'Financial Ratios'!D29</f>
        <v>1.3506762592505313</v>
      </c>
      <c r="E12" s="46">
        <f>'Raw Data'!E20/'Financial Ratios'!E29</f>
        <v>1.3469574303803509</v>
      </c>
      <c r="F12" s="46">
        <f>'Raw Data'!F20/'Financial Ratios'!F29</f>
        <v>1.3558763655130892</v>
      </c>
      <c r="G12" s="46">
        <f>'Raw Data'!G20/'Financial Ratios'!G29</f>
        <v>1.1482918808525588</v>
      </c>
      <c r="H12" s="79" t="s">
        <v>166</v>
      </c>
    </row>
    <row r="13" spans="1:8" ht="45" customHeight="1" thickBot="1">
      <c r="A13" s="45" t="s">
        <v>22</v>
      </c>
      <c r="B13" s="70" t="s">
        <v>23</v>
      </c>
      <c r="C13" s="46">
        <f>C30/'Raw Data'!C11</f>
        <v>2.8887880645112407</v>
      </c>
      <c r="D13" s="46">
        <f>D30/'Raw Data'!D11</f>
        <v>3.1821408002168292</v>
      </c>
      <c r="E13" s="46">
        <f>E30/'Raw Data'!E11</f>
        <v>3.5440504112100597</v>
      </c>
      <c r="F13" s="46">
        <f>F30/'Raw Data'!F11</f>
        <v>3.7909908330461723</v>
      </c>
      <c r="G13" s="46">
        <f>G30/'Raw Data'!G11</f>
        <v>4.0171779067894153</v>
      </c>
      <c r="H13" s="79" t="s">
        <v>165</v>
      </c>
    </row>
    <row r="14" spans="1:8" ht="45" customHeight="1" thickBot="1">
      <c r="A14" s="47" t="s">
        <v>24</v>
      </c>
      <c r="B14" s="71" t="s">
        <v>25</v>
      </c>
      <c r="C14" s="48">
        <f>'Raw Data'!C20/'Raw Data'!C28</f>
        <v>0.39340783695069192</v>
      </c>
      <c r="D14" s="48">
        <f>'Raw Data'!D20/'Raw Data'!D28</f>
        <v>0.36591578332623848</v>
      </c>
      <c r="E14" s="48">
        <f>'Raw Data'!E20/'Raw Data'!E28</f>
        <v>0.34252478943460751</v>
      </c>
      <c r="F14" s="48">
        <f>'Raw Data'!F20/'Raw Data'!F28</f>
        <v>0.34925876798723043</v>
      </c>
      <c r="G14" s="48">
        <f>'Raw Data'!G20/'Raw Data'!G28</f>
        <v>0.27741240012301971</v>
      </c>
      <c r="H14" s="76" t="s">
        <v>164</v>
      </c>
    </row>
    <row r="16" spans="1:8" ht="22" customHeight="1" thickBot="1">
      <c r="A16" s="158" t="s">
        <v>26</v>
      </c>
      <c r="B16" s="159"/>
      <c r="C16" s="159"/>
      <c r="D16" s="159"/>
      <c r="E16" s="159"/>
      <c r="F16" s="159"/>
      <c r="G16" s="159"/>
      <c r="H16" s="160"/>
    </row>
    <row r="17" spans="1:8" ht="45" customHeight="1" thickBot="1">
      <c r="A17" s="45" t="s">
        <v>27</v>
      </c>
      <c r="B17" s="70" t="s">
        <v>28</v>
      </c>
      <c r="C17" s="49">
        <f>'Raw Data'!C6/'Raw Data'!C28</f>
        <v>0.49061923767108662</v>
      </c>
      <c r="D17" s="49">
        <f>'Raw Data'!D6/'Raw Data'!D28</f>
        <v>0.55604650804490141</v>
      </c>
      <c r="E17" s="49">
        <f>'Raw Data'!E6/'Raw Data'!E28</f>
        <v>0.65109359964951941</v>
      </c>
      <c r="F17" s="49">
        <f>'Raw Data'!F6/'Raw Data'!F28</f>
        <v>0.67455802025189826</v>
      </c>
      <c r="G17" s="49">
        <f>'Raw Data'!G6/'Raw Data'!G28</f>
        <v>0.63193025676022097</v>
      </c>
      <c r="H17" s="43" t="s">
        <v>163</v>
      </c>
    </row>
    <row r="18" spans="1:8" ht="45" customHeight="1" thickBot="1">
      <c r="A18" s="45" t="s">
        <v>29</v>
      </c>
      <c r="B18" s="70" t="s">
        <v>30</v>
      </c>
      <c r="C18" s="49">
        <f>'Raw Data'!C6/'Raw Data'!C24</f>
        <v>3.6446895692887256</v>
      </c>
      <c r="D18" s="49">
        <f>'Raw Data'!D6/'Raw Data'!D24</f>
        <v>4.2996341549213204</v>
      </c>
      <c r="E18" s="49">
        <f>'Raw Data'!E6/'Raw Data'!E24</f>
        <v>5.1464909312067686</v>
      </c>
      <c r="F18" s="49">
        <f>'Raw Data'!F6/'Raw Data'!F24</f>
        <v>5.8048311843370124</v>
      </c>
      <c r="G18" s="49">
        <f>'Raw Data'!G6/'Raw Data'!G24</f>
        <v>9.2615153249871778</v>
      </c>
      <c r="H18" s="79" t="s">
        <v>162</v>
      </c>
    </row>
    <row r="19" spans="1:8" ht="45" customHeight="1" thickBot="1">
      <c r="A19" s="19" t="s">
        <v>147</v>
      </c>
      <c r="B19" s="71" t="s">
        <v>157</v>
      </c>
      <c r="C19" s="50">
        <f>'Raw Data'!C34/'Raw Data'!C6*365</f>
        <v>107.59468092603156</v>
      </c>
      <c r="D19" s="50">
        <f>'Raw Data'!D34/'Raw Data'!D6*365</f>
        <v>89.052831422591922</v>
      </c>
      <c r="E19" s="50">
        <f>'Raw Data'!E34/'Raw Data'!E6*365</f>
        <v>80.508174533997135</v>
      </c>
      <c r="F19" s="50">
        <f>'Raw Data'!F34/'Raw Data'!F6*365</f>
        <v>76.663481200909771</v>
      </c>
      <c r="G19" s="50">
        <f>'Raw Data'!G34/'Raw Data'!G6*365</f>
        <v>77.196009813541878</v>
      </c>
      <c r="H19" s="76" t="s">
        <v>161</v>
      </c>
    </row>
    <row r="20" spans="1:8" ht="15" thickBot="1"/>
    <row r="21" spans="1:8" s="10" customFormat="1" ht="22" customHeight="1" thickBot="1">
      <c r="A21" s="155" t="s">
        <v>149</v>
      </c>
      <c r="B21" s="156"/>
      <c r="C21" s="156"/>
      <c r="D21" s="156"/>
      <c r="E21" s="156"/>
      <c r="F21" s="156"/>
      <c r="G21" s="156"/>
      <c r="H21" s="157"/>
    </row>
    <row r="22" spans="1:8" s="10" customFormat="1" ht="45" customHeight="1" thickBot="1">
      <c r="A22" s="72" t="s">
        <v>150</v>
      </c>
      <c r="B22" s="70" t="s">
        <v>155</v>
      </c>
      <c r="C22" s="73">
        <f>'Raw Data'!C41/'Raw Data'!C14</f>
        <v>2.2105030031155812</v>
      </c>
      <c r="D22" s="73">
        <f>'Raw Data'!D41/'Raw Data'!D14</f>
        <v>2.1753002658842946</v>
      </c>
      <c r="E22" s="73">
        <f>'Raw Data'!E41/'Raw Data'!E14</f>
        <v>1.3987385051508103</v>
      </c>
      <c r="F22" s="73">
        <f>'Raw Data'!F41/'Raw Data'!F14</f>
        <v>0.60858436228770019</v>
      </c>
      <c r="G22" s="73">
        <f>'Raw Data'!G41/'Raw Data'!G14</f>
        <v>1.0408468296734827</v>
      </c>
      <c r="H22" s="78" t="s">
        <v>160</v>
      </c>
    </row>
    <row r="23" spans="1:8" s="10" customFormat="1" ht="45" customHeight="1" thickBot="1">
      <c r="A23" s="74" t="s">
        <v>151</v>
      </c>
      <c r="B23" s="71" t="s">
        <v>154</v>
      </c>
      <c r="C23" s="75">
        <f>'Raw Data'!C41/'Raw Data'!C6</f>
        <v>0.12243438158516899</v>
      </c>
      <c r="D23" s="75">
        <f>'Raw Data'!D41/'Raw Data'!D6</f>
        <v>0.1242329717296814</v>
      </c>
      <c r="E23" s="75">
        <f>'Raw Data'!E41/'Raw Data'!E6</f>
        <v>8.2610644489279253E-2</v>
      </c>
      <c r="F23" s="75">
        <f>'Raw Data'!F41/'Raw Data'!F6</f>
        <v>3.5784580450541566E-2</v>
      </c>
      <c r="G23" s="75">
        <f>'Raw Data'!G41/'Raw Data'!G6</f>
        <v>5.8560585846173831E-2</v>
      </c>
      <c r="H23" s="77" t="s">
        <v>159</v>
      </c>
    </row>
    <row r="24" spans="1:8" s="10" customFormat="1" ht="20" customHeight="1" thickBot="1">
      <c r="B24" s="11"/>
      <c r="H24" s="15"/>
    </row>
    <row r="25" spans="1:8" ht="22" customHeight="1" thickBot="1">
      <c r="A25" s="155" t="s">
        <v>152</v>
      </c>
      <c r="B25" s="156"/>
      <c r="C25" s="156"/>
      <c r="D25" s="156"/>
      <c r="E25" s="156"/>
      <c r="F25" s="156"/>
      <c r="G25" s="156"/>
      <c r="H25" s="157"/>
    </row>
    <row r="26" spans="1:8" ht="45" customHeight="1" thickBot="1">
      <c r="A26" s="19" t="s">
        <v>153</v>
      </c>
      <c r="B26" s="71" t="s">
        <v>156</v>
      </c>
      <c r="C26" s="20">
        <f>('Raw Data'!C15-'Raw Data'!B15)/'Raw Data'!B15</f>
        <v>-0.25175565566353292</v>
      </c>
      <c r="D26" s="20">
        <f>('Raw Data'!D15-'Raw Data'!C15)/'Raw Data'!C15</f>
        <v>0.20735917201387508</v>
      </c>
      <c r="E26" s="20">
        <f>('Raw Data'!E15-'Raw Data'!D15)/'Raw Data'!D15</f>
        <v>0.27514611233614289</v>
      </c>
      <c r="F26" s="20">
        <f>('Raw Data'!F15-'Raw Data'!E15)/'Raw Data'!E15</f>
        <v>0.15104649208373322</v>
      </c>
      <c r="G26" s="20">
        <f>('Raw Data'!G15-'Raw Data'!F15)/'Raw Data'!F15</f>
        <v>6.9308734320398704E-2</v>
      </c>
      <c r="H26" s="76" t="s">
        <v>158</v>
      </c>
    </row>
    <row r="27" spans="1:8" ht="15" thickBot="1"/>
    <row r="28" spans="1:8" ht="22" customHeight="1" thickBot="1">
      <c r="A28" s="152" t="s">
        <v>32</v>
      </c>
      <c r="B28" s="153"/>
      <c r="C28" s="153"/>
      <c r="D28" s="153"/>
      <c r="E28" s="153"/>
      <c r="F28" s="153"/>
      <c r="G28" s="154"/>
    </row>
    <row r="29" spans="1:8" ht="20" customHeight="1" thickBot="1">
      <c r="A29" s="51" t="s">
        <v>33</v>
      </c>
      <c r="B29" s="70" t="s">
        <v>36</v>
      </c>
      <c r="C29" s="28">
        <f>'Raw Data'!C18+'Raw Data'!C19</f>
        <v>82407.659999999989</v>
      </c>
      <c r="D29" s="28">
        <f>'Raw Data'!D18+'Raw Data'!D19</f>
        <v>89325.950000000012</v>
      </c>
      <c r="E29" s="28">
        <f>'Raw Data'!E18+'Raw Data'!E19</f>
        <v>86359.239999999991</v>
      </c>
      <c r="F29" s="28">
        <f>'Raw Data'!F18+'Raw Data'!F19</f>
        <v>97655.599999999991</v>
      </c>
      <c r="G29" s="29">
        <f>'Raw Data'!G18+'Raw Data'!G19</f>
        <v>109289.8</v>
      </c>
    </row>
    <row r="30" spans="1:8" ht="20" customHeight="1" thickBot="1">
      <c r="A30" s="16" t="s">
        <v>34</v>
      </c>
      <c r="B30" s="70" t="s">
        <v>37</v>
      </c>
      <c r="C30" s="28">
        <f>'Raw Data'!C8+'Raw Data'!C9</f>
        <v>26677.900000000016</v>
      </c>
      <c r="D30" s="28">
        <f>'Raw Data'!D8+'Raw Data'!D9</f>
        <v>30056.720000000048</v>
      </c>
      <c r="E30" s="28">
        <f>'Raw Data'!E8+'Raw Data'!E9</f>
        <v>33711.609999999993</v>
      </c>
      <c r="F30" s="28">
        <f>'Raw Data'!F8+'Raw Data'!F9</f>
        <v>37624.749999999993</v>
      </c>
      <c r="G30" s="28">
        <f>'Raw Data'!G8+'Raw Data'!G9</f>
        <v>40396.499999999956</v>
      </c>
    </row>
    <row r="31" spans="1:8" ht="20" customHeight="1" thickBot="1">
      <c r="A31" s="19" t="s">
        <v>35</v>
      </c>
      <c r="B31" s="71" t="s">
        <v>148</v>
      </c>
      <c r="C31" s="33">
        <f>'Financial Ratios'!C29+'Raw Data'!C20</f>
        <v>207915.74</v>
      </c>
      <c r="D31" s="33">
        <f>'Financial Ratios'!D29+'Raw Data'!D20</f>
        <v>209976.39</v>
      </c>
      <c r="E31" s="33">
        <f>'Financial Ratios'!E29+'Raw Data'!E20</f>
        <v>202681.46</v>
      </c>
      <c r="F31" s="33">
        <f>'Financial Ratios'!F29+'Raw Data'!F20</f>
        <v>230064.52000000002</v>
      </c>
      <c r="G31" s="33">
        <f>'Financial Ratios'!G29+'Raw Data'!G20</f>
        <v>234786.39</v>
      </c>
    </row>
    <row r="32" spans="1:8" ht="15" thickBot="1"/>
    <row r="33" spans="1:8" ht="20" customHeight="1" thickBot="1">
      <c r="A33" s="52" t="s">
        <v>116</v>
      </c>
      <c r="B33" s="53">
        <f>'Raw Data'!B8+'Raw Data'!B9</f>
        <v>31571.49000000002</v>
      </c>
    </row>
    <row r="35" spans="1:8">
      <c r="A35" s="4"/>
      <c r="B35" s="4"/>
      <c r="C35" s="5"/>
      <c r="D35" s="5"/>
      <c r="E35" s="5"/>
      <c r="F35" s="5"/>
      <c r="G35" s="5"/>
      <c r="H35" s="4"/>
    </row>
    <row r="36" spans="1:8">
      <c r="C36" s="8"/>
      <c r="D36" s="8"/>
      <c r="E36" s="8"/>
      <c r="F36" s="8"/>
      <c r="G36" s="8"/>
      <c r="H36" s="7"/>
    </row>
    <row r="37" spans="1:8">
      <c r="A37" s="7"/>
      <c r="B37" s="9"/>
      <c r="C37" s="8"/>
      <c r="D37" s="8"/>
      <c r="E37" s="8"/>
      <c r="F37" s="8"/>
      <c r="G37" s="8"/>
      <c r="H37" s="7"/>
    </row>
    <row r="38" spans="1:8">
      <c r="A38" s="7"/>
      <c r="B38" s="9"/>
      <c r="C38" s="8"/>
      <c r="D38" s="8"/>
      <c r="E38" s="8"/>
      <c r="F38" s="8"/>
      <c r="G38" s="8"/>
      <c r="H38" s="7"/>
    </row>
    <row r="39" spans="1:8">
      <c r="A39" s="7"/>
      <c r="B39" s="9"/>
      <c r="C39" s="8"/>
      <c r="D39" s="8"/>
      <c r="E39" s="8"/>
      <c r="F39" s="8"/>
      <c r="G39" s="8"/>
      <c r="H39" s="7"/>
    </row>
    <row r="40" spans="1:8">
      <c r="A40" s="7"/>
      <c r="B40" s="9"/>
      <c r="C40" s="8"/>
      <c r="D40" s="8"/>
      <c r="E40" s="8"/>
      <c r="F40" s="8"/>
      <c r="G40" s="8"/>
      <c r="H40" s="7"/>
    </row>
    <row r="41" spans="1:8">
      <c r="A41" s="7"/>
      <c r="B41" s="9"/>
      <c r="C41" s="8"/>
      <c r="D41" s="8"/>
      <c r="E41" s="8"/>
      <c r="F41" s="8"/>
      <c r="G41" s="8"/>
      <c r="H41" s="7"/>
    </row>
    <row r="42" spans="1:8">
      <c r="A42" s="6"/>
      <c r="B42" s="9"/>
      <c r="C42" s="8"/>
      <c r="D42" s="8"/>
      <c r="E42" s="8"/>
      <c r="F42" s="8"/>
      <c r="G42" s="8"/>
      <c r="H42" s="7"/>
    </row>
    <row r="43" spans="1:8">
      <c r="A43" s="7"/>
      <c r="B43" s="9"/>
      <c r="C43" s="8"/>
      <c r="D43" s="8"/>
      <c r="E43" s="8"/>
      <c r="F43" s="8"/>
      <c r="G43" s="8"/>
      <c r="H43" s="7"/>
    </row>
    <row r="44" spans="1:8">
      <c r="A44" s="7"/>
      <c r="B44" s="9"/>
      <c r="C44" s="8"/>
      <c r="D44" s="8"/>
      <c r="E44" s="8"/>
      <c r="F44" s="8"/>
      <c r="G44" s="8"/>
      <c r="H44" s="7"/>
    </row>
    <row r="45" spans="1:8">
      <c r="A45" s="7"/>
      <c r="B45" s="9"/>
      <c r="C45" s="8"/>
      <c r="D45" s="8"/>
      <c r="E45" s="8"/>
      <c r="F45" s="8"/>
      <c r="G45" s="8"/>
      <c r="H45" s="7"/>
    </row>
    <row r="46" spans="1:8">
      <c r="A46" s="6"/>
      <c r="B46" s="9"/>
      <c r="C46" s="8"/>
      <c r="D46" s="8"/>
      <c r="E46" s="8"/>
      <c r="F46" s="8"/>
      <c r="G46" s="8"/>
      <c r="H46" s="7"/>
    </row>
    <row r="47" spans="1:8">
      <c r="A47" s="7"/>
      <c r="B47" s="9"/>
      <c r="C47" s="8"/>
      <c r="D47" s="8"/>
      <c r="E47" s="8"/>
      <c r="F47" s="8"/>
      <c r="G47" s="8"/>
      <c r="H47" s="7"/>
    </row>
    <row r="48" spans="1:8">
      <c r="A48" s="7"/>
      <c r="B48" s="9"/>
      <c r="C48" s="8"/>
      <c r="D48" s="8"/>
      <c r="E48" s="8"/>
      <c r="F48" s="8"/>
      <c r="G48" s="8"/>
      <c r="H48" s="7"/>
    </row>
  </sheetData>
  <mergeCells count="7">
    <mergeCell ref="A28:G28"/>
    <mergeCell ref="A4:H4"/>
    <mergeCell ref="A11:H11"/>
    <mergeCell ref="A16:H16"/>
    <mergeCell ref="A1:H1"/>
    <mergeCell ref="A21:H21"/>
    <mergeCell ref="A25:H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0588-73DE-4DF1-B281-07ABD821ED86}">
  <sheetPr codeName="Sheet4"/>
  <dimension ref="A1:I59"/>
  <sheetViews>
    <sheetView zoomScale="90" zoomScaleNormal="90" workbookViewId="0">
      <pane ySplit="3" topLeftCell="A47" activePane="bottomLeft" state="frozen"/>
      <selection pane="bottomLeft" activeCell="F51" sqref="F51"/>
    </sheetView>
  </sheetViews>
  <sheetFormatPr defaultRowHeight="14.5"/>
  <cols>
    <col min="1" max="1" width="35.6328125" style="2" customWidth="1"/>
    <col min="2" max="6" width="15.6328125" style="2" customWidth="1"/>
    <col min="7" max="7" width="35.6328125" style="2" customWidth="1"/>
    <col min="8" max="16384" width="8.7265625" style="2"/>
  </cols>
  <sheetData>
    <row r="1" spans="1:9" ht="30" customHeight="1">
      <c r="A1" s="151" t="s">
        <v>103</v>
      </c>
      <c r="B1" s="151"/>
      <c r="C1" s="151"/>
      <c r="D1" s="151"/>
      <c r="E1" s="151"/>
      <c r="F1" s="151"/>
      <c r="G1" s="151"/>
      <c r="H1" s="14"/>
      <c r="I1" s="14"/>
    </row>
    <row r="2" spans="1:9" ht="8" customHeight="1" thickBot="1"/>
    <row r="3" spans="1:9" ht="24" customHeight="1" thickBot="1">
      <c r="A3" s="38" t="s">
        <v>0</v>
      </c>
      <c r="B3" s="39" t="s">
        <v>66</v>
      </c>
      <c r="C3" s="39" t="s">
        <v>67</v>
      </c>
      <c r="D3" s="39" t="s">
        <v>68</v>
      </c>
      <c r="E3" s="39" t="s">
        <v>69</v>
      </c>
      <c r="F3" s="39" t="s">
        <v>70</v>
      </c>
      <c r="G3" s="40" t="s">
        <v>73</v>
      </c>
    </row>
    <row r="4" spans="1:9" ht="15" thickBot="1"/>
    <row r="5" spans="1:9" ht="15.5" customHeight="1" thickBot="1">
      <c r="A5" s="161" t="s">
        <v>71</v>
      </c>
      <c r="B5" s="162"/>
      <c r="C5" s="162"/>
      <c r="D5" s="162"/>
      <c r="E5" s="162"/>
      <c r="F5" s="162"/>
      <c r="G5" s="163"/>
    </row>
    <row r="6" spans="1:9" ht="15" thickBot="1">
      <c r="A6" s="24" t="s">
        <v>72</v>
      </c>
      <c r="B6" s="25" t="s">
        <v>110</v>
      </c>
      <c r="C6" s="176" t="s">
        <v>104</v>
      </c>
      <c r="D6" s="176"/>
      <c r="E6" s="176"/>
      <c r="F6" s="176"/>
      <c r="G6" s="177"/>
    </row>
    <row r="7" spans="1:9" ht="15" thickBot="1">
      <c r="A7" s="16" t="s">
        <v>74</v>
      </c>
      <c r="B7" s="80">
        <f>AVERAGE(B49:F49)</f>
        <v>0.16057456851443103</v>
      </c>
      <c r="C7" s="132" t="s">
        <v>172</v>
      </c>
      <c r="D7" s="132"/>
      <c r="E7" s="132"/>
      <c r="F7" s="132"/>
      <c r="G7" s="133"/>
    </row>
    <row r="8" spans="1:9" ht="15" thickBot="1">
      <c r="A8" s="16" t="s">
        <v>75</v>
      </c>
      <c r="B8" s="80">
        <f>AVERAGE(B50:F50)</f>
        <v>0.13841202932321919</v>
      </c>
      <c r="C8" s="178" t="s">
        <v>173</v>
      </c>
      <c r="D8" s="178"/>
      <c r="E8" s="178"/>
      <c r="F8" s="178"/>
      <c r="G8" s="179"/>
    </row>
    <row r="9" spans="1:9" ht="15" thickBot="1">
      <c r="A9" s="16" t="s">
        <v>106</v>
      </c>
      <c r="B9" s="80">
        <f>AVERAGE(B51:F51)</f>
        <v>0.26110561014020284</v>
      </c>
      <c r="C9" s="178" t="s">
        <v>174</v>
      </c>
      <c r="D9" s="178"/>
      <c r="E9" s="178"/>
      <c r="F9" s="178"/>
      <c r="G9" s="179"/>
    </row>
    <row r="10" spans="1:9" ht="15" thickBot="1">
      <c r="A10" s="16" t="s">
        <v>76</v>
      </c>
      <c r="B10" s="80">
        <f>AVERAGE(B52:F52)</f>
        <v>1.7194673064260025E-2</v>
      </c>
      <c r="C10" s="178" t="s">
        <v>176</v>
      </c>
      <c r="D10" s="178"/>
      <c r="E10" s="178"/>
      <c r="F10" s="178"/>
      <c r="G10" s="179"/>
    </row>
    <row r="11" spans="1:9" ht="15" thickBot="1">
      <c r="A11" s="16" t="s">
        <v>107</v>
      </c>
      <c r="B11" s="80">
        <v>2.5000000000000001E-2</v>
      </c>
      <c r="C11" s="178" t="s">
        <v>175</v>
      </c>
      <c r="D11" s="178"/>
      <c r="E11" s="178"/>
      <c r="F11" s="178"/>
      <c r="G11" s="179"/>
    </row>
    <row r="12" spans="1:9" ht="15" thickBot="1">
      <c r="A12" s="16" t="s">
        <v>77</v>
      </c>
      <c r="B12" s="80">
        <v>0.1</v>
      </c>
      <c r="C12" s="178" t="s">
        <v>175</v>
      </c>
      <c r="D12" s="178"/>
      <c r="E12" s="178"/>
      <c r="F12" s="178"/>
      <c r="G12" s="179"/>
    </row>
    <row r="13" spans="1:9" ht="15" thickBot="1">
      <c r="A13" s="16" t="s">
        <v>78</v>
      </c>
      <c r="B13" s="81">
        <v>0.1</v>
      </c>
      <c r="C13" s="178" t="s">
        <v>175</v>
      </c>
      <c r="D13" s="178"/>
      <c r="E13" s="178"/>
      <c r="F13" s="178"/>
      <c r="G13" s="179"/>
    </row>
    <row r="14" spans="1:9" ht="15" thickBot="1">
      <c r="A14" s="19" t="s">
        <v>79</v>
      </c>
      <c r="B14" s="82">
        <v>0.04</v>
      </c>
      <c r="C14" s="180" t="s">
        <v>175</v>
      </c>
      <c r="D14" s="180"/>
      <c r="E14" s="180"/>
      <c r="F14" s="180"/>
      <c r="G14" s="181"/>
    </row>
    <row r="15" spans="1:9" ht="15" thickBot="1"/>
    <row r="16" spans="1:9" ht="15.5" customHeight="1" thickBot="1">
      <c r="A16" s="161" t="s">
        <v>80</v>
      </c>
      <c r="B16" s="162"/>
      <c r="C16" s="162"/>
      <c r="D16" s="162"/>
      <c r="E16" s="162"/>
      <c r="F16" s="162"/>
      <c r="G16" s="163"/>
    </row>
    <row r="17" spans="1:7" ht="15" thickBot="1">
      <c r="A17" s="16" t="s">
        <v>81</v>
      </c>
      <c r="B17" s="49">
        <f>'Raw Data'!G6*(1+'DCF Valuation'!B7)</f>
        <v>331778.51200633909</v>
      </c>
      <c r="C17" s="49">
        <f>'DCF Valuation'!B17*(1+'DCF Valuation'!B7)</f>
        <v>385053.70341411699</v>
      </c>
      <c r="D17" s="49">
        <f>C17*(1+B7)</f>
        <v>446883.53569472255</v>
      </c>
      <c r="E17" s="49">
        <f>D17*(1+B7)</f>
        <v>518641.66661510599</v>
      </c>
      <c r="F17" s="49">
        <f>E17*(1+B7)</f>
        <v>601922.32844543201</v>
      </c>
      <c r="G17" s="88"/>
    </row>
    <row r="18" spans="1:7" ht="15" thickBot="1">
      <c r="A18" s="19" t="s">
        <v>105</v>
      </c>
      <c r="B18" s="50">
        <f>B17/'Raw Data'!G6-1</f>
        <v>0.16057456851443108</v>
      </c>
      <c r="C18" s="50">
        <f>C17/B17-1</f>
        <v>0.16057456851443108</v>
      </c>
      <c r="D18" s="50">
        <f t="shared" ref="D18:F18" si="0">D17/C17-1</f>
        <v>0.16057456851443108</v>
      </c>
      <c r="E18" s="50">
        <f t="shared" si="0"/>
        <v>0.16057456851443108</v>
      </c>
      <c r="F18" s="50">
        <f t="shared" si="0"/>
        <v>0.16057456851443108</v>
      </c>
      <c r="G18" s="34"/>
    </row>
    <row r="19" spans="1:7" ht="15" thickBot="1"/>
    <row r="20" spans="1:7" ht="15.5" customHeight="1" thickBot="1">
      <c r="A20" s="21" t="s">
        <v>82</v>
      </c>
      <c r="B20" s="22"/>
      <c r="C20" s="22"/>
      <c r="D20" s="22"/>
      <c r="E20" s="22"/>
      <c r="F20" s="22"/>
      <c r="G20" s="23"/>
    </row>
    <row r="21" spans="1:7" ht="15" thickBot="1">
      <c r="A21" s="16" t="s">
        <v>83</v>
      </c>
      <c r="B21" s="49">
        <f>B17</f>
        <v>331778.51200633909</v>
      </c>
      <c r="C21" s="49">
        <f t="shared" ref="C21:F21" si="1">C17</f>
        <v>385053.70341411699</v>
      </c>
      <c r="D21" s="49">
        <f t="shared" si="1"/>
        <v>446883.53569472255</v>
      </c>
      <c r="E21" s="49">
        <f t="shared" si="1"/>
        <v>518641.66661510599</v>
      </c>
      <c r="F21" s="49">
        <f t="shared" si="1"/>
        <v>601922.32844543201</v>
      </c>
      <c r="G21" s="29"/>
    </row>
    <row r="22" spans="1:7" ht="15" thickBot="1">
      <c r="A22" s="16" t="s">
        <v>34</v>
      </c>
      <c r="B22" s="49">
        <f>B21*B8</f>
        <v>45922.137132635435</v>
      </c>
      <c r="C22" s="49">
        <f>C21*B8</f>
        <v>53296.064487968906</v>
      </c>
      <c r="D22" s="49">
        <f>D21*B8</f>
        <v>61854.057046641807</v>
      </c>
      <c r="E22" s="49">
        <f>E21*B8</f>
        <v>71786.245567773323</v>
      </c>
      <c r="F22" s="49">
        <f>F21*B8</f>
        <v>83313.290975089505</v>
      </c>
      <c r="G22" s="29"/>
    </row>
    <row r="23" spans="1:7" ht="15" thickBot="1">
      <c r="A23" s="16" t="s">
        <v>2</v>
      </c>
      <c r="B23" s="49">
        <f>B22*B9</f>
        <v>11990.52763495884</v>
      </c>
      <c r="C23" s="49">
        <f>C22*B9</f>
        <v>13915.901436202719</v>
      </c>
      <c r="D23" s="49">
        <f>D22*B9</f>
        <v>16150.441304810322</v>
      </c>
      <c r="E23" s="49">
        <f>E22*B9</f>
        <v>18743.791448647884</v>
      </c>
      <c r="F23" s="49">
        <f>F22*B9</f>
        <v>21753.567672838999</v>
      </c>
      <c r="G23" s="29"/>
    </row>
    <row r="24" spans="1:7" ht="15" thickBot="1">
      <c r="A24" s="16" t="s">
        <v>84</v>
      </c>
      <c r="B24" s="49">
        <f>B22-B23</f>
        <v>33931.609497676596</v>
      </c>
      <c r="C24" s="49">
        <f t="shared" ref="C24:F24" si="2">C22-C23</f>
        <v>39380.163051766183</v>
      </c>
      <c r="D24" s="49">
        <f t="shared" si="2"/>
        <v>45703.615741831483</v>
      </c>
      <c r="E24" s="49">
        <f t="shared" si="2"/>
        <v>53042.454119125439</v>
      </c>
      <c r="F24" s="49">
        <f t="shared" si="2"/>
        <v>61559.72330225051</v>
      </c>
      <c r="G24" s="29"/>
    </row>
    <row r="25" spans="1:7" ht="15" thickBot="1">
      <c r="A25" s="16" t="s">
        <v>1</v>
      </c>
      <c r="B25" s="49">
        <f>B21*B10</f>
        <v>5704.8230436956701</v>
      </c>
      <c r="C25" s="49">
        <f>C21*B10</f>
        <v>6620.8725423882861</v>
      </c>
      <c r="D25" s="49">
        <f>D21*B10</f>
        <v>7684.016294071329</v>
      </c>
      <c r="E25" s="49">
        <f>E21*B10</f>
        <v>8917.873894949691</v>
      </c>
      <c r="F25" s="49">
        <f>F21*B10</f>
        <v>10349.857647697345</v>
      </c>
      <c r="G25" s="29"/>
    </row>
    <row r="26" spans="1:7" ht="15" thickBot="1">
      <c r="A26" s="16" t="s">
        <v>85</v>
      </c>
      <c r="B26" s="49">
        <f>B21*B11</f>
        <v>8294.462800158477</v>
      </c>
      <c r="C26" s="49">
        <f>C21*B11</f>
        <v>9626.3425853529243</v>
      </c>
      <c r="D26" s="49">
        <f>D21*B11</f>
        <v>11172.088392368065</v>
      </c>
      <c r="E26" s="49">
        <f>E21*B11</f>
        <v>12966.04166537765</v>
      </c>
      <c r="F26" s="49">
        <f>F21*B11</f>
        <v>15048.058211135802</v>
      </c>
      <c r="G26" s="29"/>
    </row>
    <row r="27" spans="1:7" ht="15" thickBot="1">
      <c r="A27" s="16" t="s">
        <v>86</v>
      </c>
      <c r="B27" s="49">
        <f>B21*B12-'Raw Data'!G30</f>
        <v>-99053.888799366076</v>
      </c>
      <c r="C27" s="49">
        <f>C21*B12-B21*B12</f>
        <v>5327.5191407777893</v>
      </c>
      <c r="D27" s="49">
        <f>D21*B12-C21*B12</f>
        <v>6182.9832280605624</v>
      </c>
      <c r="E27" s="49">
        <f>E21*B12-D21*B12</f>
        <v>7175.813092038341</v>
      </c>
      <c r="F27" s="49">
        <f>F21*B12-E21*B12</f>
        <v>8328.0661830326062</v>
      </c>
      <c r="G27" s="29"/>
    </row>
    <row r="28" spans="1:7" ht="15" thickBot="1">
      <c r="A28" s="19" t="s">
        <v>87</v>
      </c>
      <c r="B28" s="50">
        <f>B24+B25-B26-B27</f>
        <v>130395.85854057987</v>
      </c>
      <c r="C28" s="50">
        <f t="shared" ref="C28:F28" si="3">C24+C25-C26-C27</f>
        <v>31047.173868023754</v>
      </c>
      <c r="D28" s="50">
        <f t="shared" si="3"/>
        <v>36032.560415474181</v>
      </c>
      <c r="E28" s="50">
        <f t="shared" si="3"/>
        <v>41818.473256659141</v>
      </c>
      <c r="F28" s="50">
        <f t="shared" si="3"/>
        <v>48533.456555779441</v>
      </c>
      <c r="G28" s="34"/>
    </row>
    <row r="29" spans="1:7" ht="15" thickBot="1"/>
    <row r="30" spans="1:7" ht="15.5" customHeight="1" thickBot="1">
      <c r="A30" s="164" t="s">
        <v>88</v>
      </c>
      <c r="B30" s="165"/>
      <c r="C30" s="165"/>
      <c r="D30" s="165"/>
      <c r="E30" s="165"/>
      <c r="F30" s="165"/>
      <c r="G30" s="166"/>
    </row>
    <row r="31" spans="1:7" ht="15" thickBot="1">
      <c r="A31" s="35" t="s">
        <v>87</v>
      </c>
      <c r="B31" s="83">
        <f>B28</f>
        <v>130395.85854057987</v>
      </c>
      <c r="C31" s="83">
        <f t="shared" ref="C31:F31" si="4">C28</f>
        <v>31047.173868023754</v>
      </c>
      <c r="D31" s="83">
        <f t="shared" si="4"/>
        <v>36032.560415474181</v>
      </c>
      <c r="E31" s="83">
        <f t="shared" si="4"/>
        <v>41818.473256659141</v>
      </c>
      <c r="F31" s="83">
        <f t="shared" si="4"/>
        <v>48533.456555779441</v>
      </c>
      <c r="G31" s="32"/>
    </row>
    <row r="32" spans="1:7" ht="15" thickBot="1">
      <c r="A32" s="16" t="s">
        <v>89</v>
      </c>
      <c r="B32" s="49">
        <f>1/(1+B13)^1</f>
        <v>0.90909090909090906</v>
      </c>
      <c r="C32" s="49">
        <f>1/(1+B13)^2</f>
        <v>0.82644628099173545</v>
      </c>
      <c r="D32" s="49">
        <f>1/(1+$B$13)^3</f>
        <v>0.75131480090157754</v>
      </c>
      <c r="E32" s="49">
        <f>1/(1+$B$13)^4</f>
        <v>0.68301345536507052</v>
      </c>
      <c r="F32" s="49">
        <f>1/(1+$B$13)^5</f>
        <v>0.62092132305915493</v>
      </c>
      <c r="G32" s="29"/>
    </row>
    <row r="33" spans="1:7" ht="15" thickBot="1">
      <c r="A33" s="35" t="s">
        <v>90</v>
      </c>
      <c r="B33" s="83">
        <f>B31*B32</f>
        <v>118541.68958234532</v>
      </c>
      <c r="C33" s="83">
        <f t="shared" ref="C33:F33" si="5">C31*C32</f>
        <v>25658.821378532026</v>
      </c>
      <c r="D33" s="83">
        <f t="shared" si="5"/>
        <v>27071.795954526049</v>
      </c>
      <c r="E33" s="83">
        <f t="shared" si="5"/>
        <v>28562.579917122552</v>
      </c>
      <c r="F33" s="83">
        <f t="shared" si="5"/>
        <v>30135.458057248587</v>
      </c>
      <c r="G33" s="32"/>
    </row>
    <row r="34" spans="1:7" ht="15" thickBot="1">
      <c r="A34" s="16" t="s">
        <v>91</v>
      </c>
      <c r="B34" s="49">
        <f>F31*(1+$B$14)/($B$13-$B$14)</f>
        <v>841246.58030017687</v>
      </c>
      <c r="C34" s="49"/>
      <c r="D34" s="49"/>
      <c r="E34" s="49"/>
      <c r="F34" s="49"/>
      <c r="G34" s="29"/>
    </row>
    <row r="35" spans="1:7" ht="15" thickBot="1">
      <c r="A35" s="16" t="s">
        <v>92</v>
      </c>
      <c r="B35" s="49">
        <f>B34*F32</f>
        <v>522347.93965897546</v>
      </c>
      <c r="C35" s="49"/>
      <c r="D35" s="49"/>
      <c r="E35" s="49"/>
      <c r="F35" s="49"/>
      <c r="G35" s="29"/>
    </row>
    <row r="36" spans="1:7" ht="15" thickBot="1">
      <c r="A36" s="36" t="s">
        <v>93</v>
      </c>
      <c r="B36" s="87">
        <f>SUM(B33:F33)+B35</f>
        <v>752318.28454875003</v>
      </c>
      <c r="C36" s="87"/>
      <c r="D36" s="87"/>
      <c r="E36" s="87"/>
      <c r="F36" s="87"/>
      <c r="G36" s="37"/>
    </row>
    <row r="37" spans="1:7" ht="15" thickBot="1"/>
    <row r="38" spans="1:7" ht="15.5" customHeight="1" thickBot="1">
      <c r="A38" s="164" t="s">
        <v>94</v>
      </c>
      <c r="B38" s="165"/>
      <c r="C38" s="165"/>
      <c r="D38" s="165"/>
      <c r="E38" s="165"/>
      <c r="F38" s="165"/>
      <c r="G38" s="166"/>
    </row>
    <row r="39" spans="1:7" ht="15" thickBot="1">
      <c r="A39" s="24" t="s">
        <v>95</v>
      </c>
      <c r="B39" s="25" t="s">
        <v>96</v>
      </c>
      <c r="C39" s="25"/>
      <c r="D39" s="25"/>
      <c r="E39" s="25"/>
      <c r="F39" s="25"/>
      <c r="G39" s="26"/>
    </row>
    <row r="40" spans="1:7" ht="15" thickBot="1">
      <c r="A40" s="27" t="s">
        <v>93</v>
      </c>
      <c r="B40" s="49">
        <f>B36</f>
        <v>752318.28454875003</v>
      </c>
      <c r="C40" s="28"/>
      <c r="D40" s="28"/>
      <c r="E40" s="28"/>
      <c r="F40" s="28"/>
      <c r="G40" s="29"/>
    </row>
    <row r="41" spans="1:7" ht="15" thickBot="1">
      <c r="A41" s="16" t="s">
        <v>97</v>
      </c>
      <c r="B41" s="49">
        <f>'Raw Data'!G20-'Raw Data'!G36</f>
        <v>104648.92</v>
      </c>
      <c r="C41" s="28"/>
      <c r="D41" s="28"/>
      <c r="E41" s="28"/>
      <c r="F41" s="28"/>
      <c r="G41" s="29"/>
    </row>
    <row r="42" spans="1:7" ht="15" thickBot="1">
      <c r="A42" s="27" t="s">
        <v>98</v>
      </c>
      <c r="B42" s="49">
        <f>B40-B41</f>
        <v>647669.36454874999</v>
      </c>
      <c r="C42" s="28"/>
      <c r="D42" s="28"/>
      <c r="E42" s="28"/>
      <c r="F42" s="28"/>
      <c r="G42" s="29"/>
    </row>
    <row r="43" spans="1:7" ht="15" thickBot="1">
      <c r="A43" s="16" t="s">
        <v>99</v>
      </c>
      <c r="B43" s="49">
        <f>'Raw Data'!G37</f>
        <v>1375632190</v>
      </c>
      <c r="C43" s="28"/>
      <c r="D43" s="28"/>
      <c r="E43" s="28"/>
      <c r="F43" s="28"/>
      <c r="G43" s="29"/>
    </row>
    <row r="44" spans="1:7" ht="15" thickBot="1">
      <c r="A44" s="30" t="s">
        <v>100</v>
      </c>
      <c r="B44" s="83">
        <f>B42*10000000/B43</f>
        <v>4708.1579600776131</v>
      </c>
      <c r="C44" s="31"/>
      <c r="D44" s="31"/>
      <c r="E44" s="31"/>
      <c r="F44" s="31"/>
      <c r="G44" s="32"/>
    </row>
    <row r="45" spans="1:7" ht="15" thickBot="1">
      <c r="A45" s="16" t="s">
        <v>101</v>
      </c>
      <c r="B45" s="49">
        <v>4061</v>
      </c>
      <c r="C45" s="28"/>
      <c r="D45" s="28"/>
      <c r="E45" s="28"/>
      <c r="F45" s="28"/>
      <c r="G45" s="29"/>
    </row>
    <row r="46" spans="1:7" ht="15" thickBot="1">
      <c r="A46" s="19" t="s">
        <v>102</v>
      </c>
      <c r="B46" s="50">
        <f>(B44-B45)/B45</f>
        <v>0.15935926128480993</v>
      </c>
      <c r="C46" s="33"/>
      <c r="D46" s="33"/>
      <c r="E46" s="33"/>
      <c r="F46" s="33"/>
      <c r="G46" s="34"/>
    </row>
    <row r="47" spans="1:7" ht="15" thickBot="1"/>
    <row r="48" spans="1:7" ht="22" customHeight="1" thickBot="1">
      <c r="A48" s="84" t="s">
        <v>108</v>
      </c>
      <c r="B48" s="85" t="s">
        <v>111</v>
      </c>
      <c r="C48" s="85" t="s">
        <v>112</v>
      </c>
      <c r="D48" s="85" t="s">
        <v>113</v>
      </c>
      <c r="E48" s="85" t="s">
        <v>114</v>
      </c>
      <c r="F48" s="86" t="s">
        <v>115</v>
      </c>
    </row>
    <row r="49" spans="1:6" ht="15" thickBot="1">
      <c r="A49" s="16" t="s">
        <v>109</v>
      </c>
      <c r="B49" s="17">
        <f>('Raw Data'!C6-'Raw Data'!B6)/'Raw Data'!B6</f>
        <v>0.15106888172389532</v>
      </c>
      <c r="C49" s="17">
        <f>('Raw Data'!D6-'Raw Data'!C6)/'Raw Data'!C6</f>
        <v>0.17134717124315979</v>
      </c>
      <c r="D49" s="17">
        <f>('Raw Data'!E6-'Raw Data'!D6)/'Raw Data'!D6</f>
        <v>0.20602195802677742</v>
      </c>
      <c r="E49" s="17">
        <f>('Raw Data'!F6-'Raw Data'!E6)/'Raw Data'!E6</f>
        <v>0.15657855527295991</v>
      </c>
      <c r="F49" s="18">
        <f>('Raw Data'!G6-'Raw Data'!F6)/'Raw Data'!F6</f>
        <v>0.11785627630536274</v>
      </c>
    </row>
    <row r="50" spans="1:6" ht="15" thickBot="1">
      <c r="A50" s="16" t="s">
        <v>75</v>
      </c>
      <c r="B50" s="17">
        <f>'Raw Data'!C8/'Raw Data'!C6</f>
        <v>0.15533924695071724</v>
      </c>
      <c r="C50" s="17">
        <f>'Raw Data'!D8/'Raw Data'!D6</f>
        <v>0.14817233707518324</v>
      </c>
      <c r="D50" s="17">
        <f>'Raw Data'!E8/'Raw Data'!E6</f>
        <v>0.13006079111346322</v>
      </c>
      <c r="E50" s="17">
        <f>'Raw Data'!F8/'Raw Data'!F6</f>
        <v>0.1346197197913695</v>
      </c>
      <c r="F50" s="18">
        <f>'Raw Data'!G8/'Raw Data'!G6</f>
        <v>0.12386805168536261</v>
      </c>
    </row>
    <row r="51" spans="1:6" ht="15" thickBot="1">
      <c r="A51" s="16" t="s">
        <v>106</v>
      </c>
      <c r="B51" s="17">
        <f>'Raw Data'!C13/'Raw Data'!C12</f>
        <v>0.29002612630450425</v>
      </c>
      <c r="C51" s="17">
        <f>'Raw Data'!D13/'Raw Data'!D12</f>
        <v>0.26209317535827575</v>
      </c>
      <c r="D51" s="17">
        <f>'Raw Data'!E13/'Raw Data'!E12</f>
        <v>0.24113483819114875</v>
      </c>
      <c r="E51" s="17">
        <f>'Raw Data'!F13/'Raw Data'!F12</f>
        <v>0.24986014973626719</v>
      </c>
      <c r="F51" s="18">
        <f>'Raw Data'!G13/'Raw Data'!G12</f>
        <v>0.2624137611108181</v>
      </c>
    </row>
    <row r="52" spans="1:6" ht="15" thickBot="1">
      <c r="A52" s="16" t="s">
        <v>76</v>
      </c>
      <c r="B52" s="17">
        <f>'Raw Data'!C10/'Raw Data'!C6</f>
        <v>1.8834186263422537E-2</v>
      </c>
      <c r="C52" s="17">
        <f>'Raw Data'!D10/'Raw Data'!D6</f>
        <v>1.9102414248445651E-2</v>
      </c>
      <c r="D52" s="17">
        <f>'Raw Data'!E10/'Raw Data'!E6</f>
        <v>1.6653618280361829E-2</v>
      </c>
      <c r="E52" s="17">
        <f>'Raw Data'!F10/'Raw Data'!F6</f>
        <v>1.6115075618478466E-2</v>
      </c>
      <c r="F52" s="18">
        <f>'Raw Data'!G10/'Raw Data'!G6</f>
        <v>1.5268070910591633E-2</v>
      </c>
    </row>
    <row r="53" spans="1:6" ht="15" thickBot="1">
      <c r="A53" s="16" t="s">
        <v>107</v>
      </c>
      <c r="B53" s="167" t="s">
        <v>177</v>
      </c>
      <c r="C53" s="168"/>
      <c r="D53" s="168"/>
      <c r="E53" s="168"/>
      <c r="F53" s="169"/>
    </row>
    <row r="54" spans="1:6" ht="15" thickBot="1">
      <c r="A54" s="16" t="s">
        <v>77</v>
      </c>
      <c r="B54" s="17">
        <f>'Raw Data'!C30/'Raw Data'!C6</f>
        <v>0.79430758370605703</v>
      </c>
      <c r="C54" s="17">
        <f>'Raw Data'!D30/'Raw Data'!D6</f>
        <v>0.65163659787488537</v>
      </c>
      <c r="D54" s="17">
        <f>'Raw Data'!E30/'Raw Data'!E6</f>
        <v>0.50211817120945135</v>
      </c>
      <c r="E54" s="17">
        <f>'Raw Data'!F30/'Raw Data'!F6</f>
        <v>0.50292449843969</v>
      </c>
      <c r="F54" s="18">
        <f>'Raw Data'!G30/'Raw Data'!G6</f>
        <v>0.4625519406497316</v>
      </c>
    </row>
    <row r="55" spans="1:6" ht="15" thickBot="1">
      <c r="A55" s="16" t="s">
        <v>78</v>
      </c>
      <c r="B55" s="170" t="s">
        <v>177</v>
      </c>
      <c r="C55" s="171"/>
      <c r="D55" s="171"/>
      <c r="E55" s="171"/>
      <c r="F55" s="172"/>
    </row>
    <row r="56" spans="1:6" ht="15" thickBot="1">
      <c r="A56" s="19" t="s">
        <v>79</v>
      </c>
      <c r="B56" s="173"/>
      <c r="C56" s="174"/>
      <c r="D56" s="174"/>
      <c r="E56" s="174"/>
      <c r="F56" s="175"/>
    </row>
    <row r="59" spans="1:6">
      <c r="A59" s="2" t="s">
        <v>183</v>
      </c>
    </row>
  </sheetData>
  <mergeCells count="16">
    <mergeCell ref="B55:F56"/>
    <mergeCell ref="C6:G6"/>
    <mergeCell ref="C7:G7"/>
    <mergeCell ref="C8:G8"/>
    <mergeCell ref="C9:G9"/>
    <mergeCell ref="C10:G10"/>
    <mergeCell ref="C11:G11"/>
    <mergeCell ref="C12:G12"/>
    <mergeCell ref="C13:G13"/>
    <mergeCell ref="C14:G14"/>
    <mergeCell ref="A38:G38"/>
    <mergeCell ref="A1:G1"/>
    <mergeCell ref="A5:G5"/>
    <mergeCell ref="A16:G16"/>
    <mergeCell ref="A30:G30"/>
    <mergeCell ref="B53:F53"/>
  </mergeCells>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1563E-F22A-4E3C-B944-B44F0FA33AEB}">
  <sheetPr codeName="Sheet5"/>
  <dimension ref="A1:M18"/>
  <sheetViews>
    <sheetView showGridLines="0" tabSelected="1" topLeftCell="A2" workbookViewId="0">
      <selection activeCell="A14" sqref="A14:F14"/>
    </sheetView>
  </sheetViews>
  <sheetFormatPr defaultRowHeight="14.5"/>
  <cols>
    <col min="1" max="1" width="24.6328125" style="2" customWidth="1"/>
    <col min="2" max="6" width="15.6328125" style="2" customWidth="1"/>
    <col min="7" max="7" width="25.6328125" style="2" customWidth="1"/>
    <col min="8" max="16384" width="8.7265625" style="2"/>
  </cols>
  <sheetData>
    <row r="1" spans="1:13" ht="30" customHeight="1">
      <c r="A1" s="151" t="s">
        <v>178</v>
      </c>
      <c r="B1" s="151"/>
      <c r="C1" s="151"/>
      <c r="D1" s="151"/>
      <c r="E1" s="151"/>
      <c r="F1" s="151"/>
      <c r="G1" s="14"/>
    </row>
    <row r="2" spans="1:13">
      <c r="A2" s="191" t="s">
        <v>200</v>
      </c>
      <c r="B2" s="191"/>
      <c r="C2" s="191"/>
      <c r="D2" s="191"/>
      <c r="E2" s="191"/>
      <c r="F2" s="191"/>
      <c r="G2" s="89"/>
    </row>
    <row r="3" spans="1:13" ht="15" thickBot="1"/>
    <row r="4" spans="1:13" s="90" customFormat="1" ht="24" customHeight="1" thickBot="1">
      <c r="A4" s="200" t="s">
        <v>180</v>
      </c>
      <c r="B4" s="201"/>
      <c r="C4" s="201"/>
      <c r="D4" s="201"/>
      <c r="E4" s="201"/>
      <c r="F4" s="202"/>
      <c r="G4" s="57"/>
      <c r="I4" s="198" t="s">
        <v>181</v>
      </c>
      <c r="J4" s="198"/>
      <c r="K4" s="198"/>
      <c r="L4" s="198"/>
      <c r="M4" s="198"/>
    </row>
    <row r="5" spans="1:13" ht="15" thickBot="1">
      <c r="A5" s="192" t="s">
        <v>179</v>
      </c>
      <c r="B5" s="193">
        <v>0.03</v>
      </c>
      <c r="C5" s="193">
        <v>3.5000000000000003E-2</v>
      </c>
      <c r="D5" s="193">
        <v>0.04</v>
      </c>
      <c r="E5" s="193">
        <v>4.4999999999999998E-2</v>
      </c>
      <c r="F5" s="194">
        <v>0.05</v>
      </c>
      <c r="I5" s="199"/>
      <c r="J5" s="199"/>
      <c r="K5" s="199"/>
      <c r="L5" s="199"/>
      <c r="M5" s="199"/>
    </row>
    <row r="6" spans="1:13" ht="15" thickBot="1">
      <c r="A6" s="192"/>
      <c r="B6" s="193"/>
      <c r="C6" s="193"/>
      <c r="D6" s="193"/>
      <c r="E6" s="193"/>
      <c r="F6" s="194"/>
      <c r="I6" s="199"/>
      <c r="J6" s="199"/>
      <c r="K6" s="199"/>
      <c r="L6" s="199"/>
      <c r="M6" s="199"/>
    </row>
    <row r="7" spans="1:13" ht="16" thickBot="1">
      <c r="A7" s="91">
        <v>0.08</v>
      </c>
      <c r="B7" s="94">
        <f>(('DCF Valuation'!$B$31/(1+$A7)^1+'DCF Valuation'!$C$31/(1+$A7)^2+'DCF Valuation'!$D$31/(1+$A7)^3+'DCF Valuation'!$E$31/(1+$A7)^4+'DCF Valuation'!$F$31/(1+$A7)^5+(('DCF Valuation'!$F$31*(1+B$5))/($A7-B$5))/(1+$A7)^5)-'DCF Valuation'!$B$41)*10000000/'DCF Valuation'!$B$43</f>
        <v>5928.3169032129572</v>
      </c>
      <c r="C7" s="94">
        <f>(('DCF Valuation'!$B$31/(1+$A7)^1+'DCF Valuation'!$C$31/(1+$A7)^2+'DCF Valuation'!$D$31/(1+$A7)^3+'DCF Valuation'!$E$31/(1+$A7)^4+'DCF Valuation'!$F$31/(1+$A7)^5+(('DCF Valuation'!$F$31*(1+C$5))/($A7-C$5))/(1+$A7)^5)-'DCF Valuation'!$B$41)*10000000/'DCF Valuation'!$B$43</f>
        <v>6504.5939970340505</v>
      </c>
      <c r="D7" s="94">
        <f>(('DCF Valuation'!$B$31/(1+$A7)^1+'DCF Valuation'!$C$31/(1+$A7)^2+'DCF Valuation'!$D$31/(1+$A7)^3+'DCF Valuation'!$E$31/(1+$A7)^4+'DCF Valuation'!$F$31/(1+$A7)^5+(('DCF Valuation'!$F$31*(1+D$5))/($A7-D$5))/(1+$A7)^5)-'DCF Valuation'!$B$41)*10000000/'DCF Valuation'!$B$43</f>
        <v>7224.9403643104179</v>
      </c>
      <c r="E7" s="94">
        <f>(('DCF Valuation'!$B$31/(1+$A7)^1+'DCF Valuation'!$C$31/(1+$A7)^2+'DCF Valuation'!$D$31/(1+$A7)^3+'DCF Valuation'!$E$31/(1+$A7)^4+'DCF Valuation'!$F$31/(1+$A7)^5+(('DCF Valuation'!$F$31*(1+E$5))/($A7-E$5))/(1+$A7)^5)-'DCF Valuation'!$B$41)*10000000/'DCF Valuation'!$B$43</f>
        <v>8151.0999793800347</v>
      </c>
      <c r="F7" s="94">
        <f>(('DCF Valuation'!$B$31/(1+$A7)^1+'DCF Valuation'!$C$31/(1+$A7)^2+'DCF Valuation'!$D$31/(1+$A7)^3+'DCF Valuation'!$E$31/(1+$A7)^4+'DCF Valuation'!$F$31/(1+$A7)^5+(('DCF Valuation'!$F$31*(1+F$5))/($A7-F$5))/(1+$A7)^5)-'DCF Valuation'!$B$41)*10000000/'DCF Valuation'!$B$43</f>
        <v>9385.9794661395226</v>
      </c>
      <c r="I7" s="199"/>
      <c r="J7" s="199"/>
      <c r="K7" s="199"/>
      <c r="L7" s="199"/>
      <c r="M7" s="199"/>
    </row>
    <row r="8" spans="1:13" ht="16" thickBot="1">
      <c r="A8" s="91">
        <v>0.09</v>
      </c>
      <c r="B8" s="94">
        <f>(('DCF Valuation'!$B$31/(1+$A8)^1+'DCF Valuation'!$C$31/(1+$A8)^2+'DCF Valuation'!$D$31/(1+$A8)^3+'DCF Valuation'!$E$31/(1+$A8)^4+'DCF Valuation'!$F$31/(1+$A8)^5+(('DCF Valuation'!$F$31*(1+B$5))/($A8-B$5))/(1+$A8)^5)-'DCF Valuation'!$B$41)*10000000/'DCF Valuation'!$B$43</f>
        <v>4882.1177882511993</v>
      </c>
      <c r="C8" s="94">
        <f>(('DCF Valuation'!$B$31/(1+$A8)^1+'DCF Valuation'!$C$31/(1+$A8)^2+'DCF Valuation'!$D$31/(1+$A8)^3+'DCF Valuation'!$E$31/(1+$A8)^4+'DCF Valuation'!$F$31/(1+$A8)^5+(('DCF Valuation'!$F$31*(1+C$5))/($A8-C$5))/(1+$A8)^5)-'DCF Valuation'!$B$41)*10000000/'DCF Valuation'!$B$43</f>
        <v>5260.8122604451255</v>
      </c>
      <c r="D8" s="94">
        <f>(('DCF Valuation'!$B$31/(1+$A8)^1+'DCF Valuation'!$C$31/(1+$A8)^2+'DCF Valuation'!$D$31/(1+$A8)^3+'DCF Valuation'!$E$31/(1+$A8)^4+'DCF Valuation'!$F$31/(1+$A8)^5+(('DCF Valuation'!$F$31*(1+D$5))/($A8-D$5))/(1+$A8)^5)-'DCF Valuation'!$B$41)*10000000/'DCF Valuation'!$B$43</f>
        <v>5715.2456270778366</v>
      </c>
      <c r="E8" s="94">
        <f>(('DCF Valuation'!$B$31/(1+$A8)^1+'DCF Valuation'!$C$31/(1+$A8)^2+'DCF Valuation'!$D$31/(1+$A8)^3+'DCF Valuation'!$E$31/(1+$A8)^4+'DCF Valuation'!$F$31/(1+$A8)^5+(('DCF Valuation'!$F$31*(1+E$5))/($A8-E$5))/(1+$A8)^5)-'DCF Valuation'!$B$41)*10000000/'DCF Valuation'!$B$43</f>
        <v>6270.6641862955939</v>
      </c>
      <c r="F8" s="94">
        <f>(('DCF Valuation'!$B$31/(1+$A8)^1+'DCF Valuation'!$C$31/(1+$A8)^2+'DCF Valuation'!$D$31/(1+$A8)^3+'DCF Valuation'!$E$31/(1+$A8)^4+'DCF Valuation'!$F$31/(1+$A8)^5+(('DCF Valuation'!$F$31*(1+F$5))/($A8-F$5))/(1+$A8)^5)-'DCF Valuation'!$B$41)*10000000/'DCF Valuation'!$B$43</f>
        <v>6964.9373853177904</v>
      </c>
      <c r="I8" s="199"/>
      <c r="J8" s="199"/>
      <c r="K8" s="199"/>
      <c r="L8" s="199"/>
      <c r="M8" s="199"/>
    </row>
    <row r="9" spans="1:13" ht="16" thickBot="1">
      <c r="A9" s="91">
        <v>0.1</v>
      </c>
      <c r="B9" s="94">
        <f>(('DCF Valuation'!$B$31/(1+$A9)^1+'DCF Valuation'!$C$31/(1+$A9)^2+'DCF Valuation'!$D$31/(1+$A9)^3+'DCF Valuation'!$E$31/(1+$A9)^4+'DCF Valuation'!$F$31/(1+$A9)^5+(('DCF Valuation'!$F$31*(1+B$5))/($A9-B$5))/(1+$A9)^5)-'DCF Valuation'!$B$41)*10000000/'DCF Valuation'!$B$43</f>
        <v>4134.4130284927669</v>
      </c>
      <c r="C9" s="94">
        <f>(('DCF Valuation'!$B$31/(1+$A9)^1+'DCF Valuation'!$C$31/(1+$A9)^2+'DCF Valuation'!$D$31/(1+$A9)^3+'DCF Valuation'!$E$31/(1+$A9)^4+'DCF Valuation'!$F$31/(1+$A9)^5+(('DCF Valuation'!$F$31*(1+C$5))/($A9-C$5))/(1+$A9)^5)-'DCF Valuation'!$B$41)*10000000/'DCF Valuation'!$B$43</f>
        <v>4399.2183815319268</v>
      </c>
      <c r="D9" s="94">
        <f>(('DCF Valuation'!$B$31/(1+$A9)^1+'DCF Valuation'!$C$31/(1+$A9)^2+'DCF Valuation'!$D$31/(1+$A9)^3+'DCF Valuation'!$E$31/(1+$A9)^4+'DCF Valuation'!$F$31/(1+$A9)^5+(('DCF Valuation'!$F$31*(1+D$5))/($A9-D$5))/(1+$A9)^5)-'DCF Valuation'!$B$41)*10000000/'DCF Valuation'!$B$43</f>
        <v>4708.1579600776131</v>
      </c>
      <c r="E9" s="94">
        <f>(('DCF Valuation'!$B$31/(1+$A9)^1+'DCF Valuation'!$C$31/(1+$A9)^2+'DCF Valuation'!$D$31/(1+$A9)^3+'DCF Valuation'!$E$31/(1+$A9)^4+'DCF Valuation'!$F$31/(1+$A9)^5+(('DCF Valuation'!$F$31*(1+E$5))/($A9-E$5))/(1+$A9)^5)-'DCF Valuation'!$B$41)*10000000/'DCF Valuation'!$B$43</f>
        <v>5073.268371086152</v>
      </c>
      <c r="F9" s="94">
        <f>(('DCF Valuation'!$B$31/(1+$A9)^1+'DCF Valuation'!$C$31/(1+$A9)^2+'DCF Valuation'!$D$31/(1+$A9)^3+'DCF Valuation'!$E$31/(1+$A9)^4+'DCF Valuation'!$F$31/(1+$A9)^5+(('DCF Valuation'!$F$31*(1+F$5))/($A9-F$5))/(1+$A9)^5)-'DCF Valuation'!$B$41)*10000000/'DCF Valuation'!$B$43</f>
        <v>5511.4008642964</v>
      </c>
      <c r="I9" s="199"/>
      <c r="J9" s="199"/>
      <c r="K9" s="199"/>
      <c r="L9" s="199"/>
      <c r="M9" s="199"/>
    </row>
    <row r="10" spans="1:13" ht="16" thickBot="1">
      <c r="A10" s="91">
        <v>0.11</v>
      </c>
      <c r="B10" s="94">
        <f>(('DCF Valuation'!$B$31/(1+$A10)^1+'DCF Valuation'!$C$31/(1+$A10)^2+'DCF Valuation'!$D$31/(1+$A10)^3+'DCF Valuation'!$E$31/(1+$A10)^4+'DCF Valuation'!$F$31/(1+$A10)^5+(('DCF Valuation'!$F$31*(1+B$5))/($A10-B$5))/(1+$A10)^5)-'DCF Valuation'!$B$41)*10000000/'DCF Valuation'!$B$43</f>
        <v>3573.2543407976336</v>
      </c>
      <c r="C10" s="94">
        <f>(('DCF Valuation'!$B$31/(1+$A10)^1+'DCF Valuation'!$C$31/(1+$A10)^2+'DCF Valuation'!$D$31/(1+$A10)^3+'DCF Valuation'!$E$31/(1+$A10)^4+'DCF Valuation'!$F$31/(1+$A10)^5+(('DCF Valuation'!$F$31*(1+C$5))/($A10-C$5))/(1+$A10)^5)-'DCF Valuation'!$B$41)*10000000/'DCF Valuation'!$B$43</f>
        <v>3766.9258477843764</v>
      </c>
      <c r="D10" s="94">
        <f>(('DCF Valuation'!$B$31/(1+$A10)^1+'DCF Valuation'!$C$31/(1+$A10)^2+'DCF Valuation'!$D$31/(1+$A10)^3+'DCF Valuation'!$E$31/(1+$A10)^4+'DCF Valuation'!$F$31/(1+$A10)^5+(('DCF Valuation'!$F$31*(1+D$5))/($A10-D$5))/(1+$A10)^5)-'DCF Valuation'!$B$41)*10000000/'DCF Valuation'!$B$43</f>
        <v>3988.2647129120801</v>
      </c>
      <c r="E10" s="94">
        <f>(('DCF Valuation'!$B$31/(1+$A10)^1+'DCF Valuation'!$C$31/(1+$A10)^2+'DCF Valuation'!$D$31/(1+$A10)^3+'DCF Valuation'!$E$31/(1+$A10)^4+'DCF Valuation'!$F$31/(1+$A10)^5+(('DCF Valuation'!$F$31*(1+E$5))/($A10-E$5))/(1+$A10)^5)-'DCF Valuation'!$B$41)*10000000/'DCF Valuation'!$B$43</f>
        <v>4243.6557111363554</v>
      </c>
      <c r="F10" s="94">
        <f>(('DCF Valuation'!$B$31/(1+$A10)^1+'DCF Valuation'!$C$31/(1+$A10)^2+'DCF Valuation'!$D$31/(1+$A10)^3+'DCF Valuation'!$E$31/(1+$A10)^4+'DCF Valuation'!$F$31/(1+$A10)^5+(('DCF Valuation'!$F$31*(1+F$5))/($A10-F$5))/(1+$A10)^5)-'DCF Valuation'!$B$41)*10000000/'DCF Valuation'!$B$43</f>
        <v>4541.6118757313425</v>
      </c>
      <c r="I10" s="199"/>
      <c r="J10" s="199"/>
      <c r="K10" s="199"/>
      <c r="L10" s="199"/>
      <c r="M10" s="199"/>
    </row>
    <row r="11" spans="1:13" ht="16" thickBot="1">
      <c r="A11" s="92">
        <v>0.12</v>
      </c>
      <c r="B11" s="94">
        <f>(('DCF Valuation'!$B$31/(1+$A11)^1+'DCF Valuation'!$C$31/(1+$A11)^2+'DCF Valuation'!$D$31/(1+$A11)^3+'DCF Valuation'!$E$31/(1+$A11)^4+'DCF Valuation'!$F$31/(1+$A11)^5+(('DCF Valuation'!$F$31*(1+B$5))/($A11-B$5))/(1+$A11)^5)-'DCF Valuation'!$B$41)*10000000/'DCF Valuation'!$B$43</f>
        <v>3136.4496456437446</v>
      </c>
      <c r="C11" s="94">
        <f>(('DCF Valuation'!$B$31/(1+$A11)^1+'DCF Valuation'!$C$31/(1+$A11)^2+'DCF Valuation'!$D$31/(1+$A11)^3+'DCF Valuation'!$E$31/(1+$A11)^4+'DCF Valuation'!$F$31/(1+$A11)^5+(('DCF Valuation'!$F$31*(1+C$5))/($A11-C$5))/(1+$A11)^5)-'DCF Valuation'!$B$41)*10000000/'DCF Valuation'!$B$43</f>
        <v>3282.9961189926717</v>
      </c>
      <c r="D11" s="94">
        <f>(('DCF Valuation'!$B$31/(1+$A11)^1+'DCF Valuation'!$C$31/(1+$A11)^2+'DCF Valuation'!$D$31/(1+$A11)^3+'DCF Valuation'!$E$31/(1+$A11)^4+'DCF Valuation'!$F$31/(1+$A11)^5+(('DCF Valuation'!$F$31*(1+D$5))/($A11-D$5))/(1+$A11)^5)-'DCF Valuation'!$B$41)*10000000/'DCF Valuation'!$B$43</f>
        <v>3447.8609015102134</v>
      </c>
      <c r="E11" s="94">
        <f>(('DCF Valuation'!$B$31/(1+$A11)^1+'DCF Valuation'!$C$31/(1+$A11)^2+'DCF Valuation'!$D$31/(1+$A11)^3+'DCF Valuation'!$E$31/(1+$A11)^4+'DCF Valuation'!$F$31/(1+$A11)^5+(('DCF Valuation'!$F$31*(1+E$5))/($A11-E$5))/(1+$A11)^5)-'DCF Valuation'!$B$41)*10000000/'DCF Valuation'!$B$43</f>
        <v>3634.7076550300944</v>
      </c>
      <c r="F11" s="94">
        <f>(('DCF Valuation'!$B$31/(1+$A11)^1+'DCF Valuation'!$C$31/(1+$A11)^2+'DCF Valuation'!$D$31/(1+$A11)^3+'DCF Valuation'!$E$31/(1+$A11)^4+'DCF Valuation'!$F$31/(1+$A11)^5+(('DCF Valuation'!$F$31*(1+F$5))/($A11-F$5))/(1+$A11)^5)-'DCF Valuation'!$B$41)*10000000/'DCF Valuation'!$B$43</f>
        <v>3848.2468019099579</v>
      </c>
      <c r="I11" s="199"/>
      <c r="J11" s="199"/>
      <c r="K11" s="199"/>
      <c r="L11" s="199"/>
      <c r="M11" s="199"/>
    </row>
    <row r="12" spans="1:13" ht="15" thickBot="1">
      <c r="I12" s="199"/>
      <c r="J12" s="199"/>
      <c r="K12" s="199"/>
      <c r="L12" s="199"/>
      <c r="M12" s="199"/>
    </row>
    <row r="13" spans="1:13" ht="22" customHeight="1">
      <c r="A13" s="195" t="s">
        <v>7</v>
      </c>
      <c r="B13" s="196"/>
      <c r="C13" s="196"/>
      <c r="D13" s="196"/>
      <c r="E13" s="196"/>
      <c r="F13" s="197"/>
    </row>
    <row r="14" spans="1:13" ht="29" customHeight="1" thickBot="1">
      <c r="A14" s="188" t="s">
        <v>201</v>
      </c>
      <c r="B14" s="189"/>
      <c r="C14" s="189"/>
      <c r="D14" s="189"/>
      <c r="E14" s="189"/>
      <c r="F14" s="190"/>
    </row>
    <row r="15" spans="1:13" ht="15" thickBot="1"/>
    <row r="16" spans="1:13">
      <c r="A16" s="182" t="s">
        <v>183</v>
      </c>
      <c r="B16" s="183"/>
      <c r="C16" s="183"/>
      <c r="D16" s="183"/>
      <c r="E16" s="183"/>
      <c r="F16" s="184"/>
    </row>
    <row r="17" spans="1:6">
      <c r="A17" s="185"/>
      <c r="B17" s="186"/>
      <c r="C17" s="186"/>
      <c r="D17" s="186"/>
      <c r="E17" s="186"/>
      <c r="F17" s="187"/>
    </row>
    <row r="18" spans="1:6" ht="15" thickBot="1">
      <c r="A18" s="188"/>
      <c r="B18" s="189"/>
      <c r="C18" s="189"/>
      <c r="D18" s="189"/>
      <c r="E18" s="189"/>
      <c r="F18" s="190"/>
    </row>
  </sheetData>
  <mergeCells count="14">
    <mergeCell ref="I4:M4"/>
    <mergeCell ref="I5:M12"/>
    <mergeCell ref="A4:F4"/>
    <mergeCell ref="A16:F18"/>
    <mergeCell ref="A1:F1"/>
    <mergeCell ref="A2:F2"/>
    <mergeCell ref="A5:A6"/>
    <mergeCell ref="B5:B6"/>
    <mergeCell ref="C5:C6"/>
    <mergeCell ref="D5:D6"/>
    <mergeCell ref="E5:E6"/>
    <mergeCell ref="F5:F6"/>
    <mergeCell ref="A13:F13"/>
    <mergeCell ref="A14:F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1C1B1-FD4C-4293-964E-9E934F7D2F18}">
  <sheetPr codeName="Sheet6"/>
  <dimension ref="A1:T34"/>
  <sheetViews>
    <sheetView zoomScale="60" zoomScaleNormal="60" workbookViewId="0">
      <selection activeCell="Y8" sqref="Y8"/>
    </sheetView>
  </sheetViews>
  <sheetFormatPr defaultRowHeight="14.5"/>
  <cols>
    <col min="1" max="16384" width="8.7265625" style="2"/>
  </cols>
  <sheetData>
    <row r="1" spans="1:20" s="93" customFormat="1" ht="30" customHeight="1">
      <c r="A1" s="151" t="s">
        <v>182</v>
      </c>
      <c r="B1" s="151"/>
      <c r="C1" s="151"/>
      <c r="D1" s="151"/>
      <c r="E1" s="151"/>
      <c r="F1" s="151"/>
      <c r="G1" s="151"/>
      <c r="H1" s="151"/>
      <c r="I1" s="151"/>
      <c r="J1" s="151"/>
      <c r="K1" s="151"/>
      <c r="L1" s="151"/>
      <c r="M1" s="151"/>
      <c r="N1" s="151"/>
    </row>
    <row r="3" spans="1:20">
      <c r="R3" s="95" t="s">
        <v>184</v>
      </c>
      <c r="S3" s="96" t="s">
        <v>185</v>
      </c>
    </row>
    <row r="4" spans="1:20">
      <c r="R4" s="97" t="s">
        <v>186</v>
      </c>
      <c r="S4" s="98" t="s">
        <v>83</v>
      </c>
    </row>
    <row r="5" spans="1:20">
      <c r="R5" s="97" t="s">
        <v>111</v>
      </c>
      <c r="S5" s="99">
        <f>'Raw Data'!B6</f>
        <v>135979.03</v>
      </c>
    </row>
    <row r="6" spans="1:20">
      <c r="R6" s="97" t="s">
        <v>112</v>
      </c>
      <c r="S6" s="99">
        <f>'Raw Data'!C6</f>
        <v>156521.23000000001</v>
      </c>
    </row>
    <row r="7" spans="1:20">
      <c r="R7" s="97" t="s">
        <v>113</v>
      </c>
      <c r="S7" s="99">
        <f>'Raw Data'!D6</f>
        <v>183340.7</v>
      </c>
    </row>
    <row r="8" spans="1:20">
      <c r="R8" s="97" t="s">
        <v>114</v>
      </c>
      <c r="S8" s="99">
        <f>'Raw Data'!E6</f>
        <v>221112.91</v>
      </c>
    </row>
    <row r="9" spans="1:20">
      <c r="R9" s="97" t="s">
        <v>115</v>
      </c>
      <c r="S9" s="99">
        <f>'Raw Data'!F6</f>
        <v>255734.45</v>
      </c>
    </row>
    <row r="11" spans="1:20" ht="29">
      <c r="R11" s="95" t="s">
        <v>186</v>
      </c>
      <c r="S11" s="96" t="s">
        <v>119</v>
      </c>
      <c r="T11" s="96" t="s">
        <v>187</v>
      </c>
    </row>
    <row r="12" spans="1:20">
      <c r="R12" s="97" t="s">
        <v>111</v>
      </c>
      <c r="S12" s="99">
        <f>'Raw Data'!B8</f>
        <v>23460.24000000002</v>
      </c>
      <c r="T12" s="99">
        <f>'Raw Data'!B14</f>
        <v>11582.93</v>
      </c>
    </row>
    <row r="13" spans="1:20">
      <c r="R13" s="97" t="s">
        <v>112</v>
      </c>
      <c r="S13" s="99">
        <f>'Raw Data'!C8</f>
        <v>24313.890000000014</v>
      </c>
      <c r="T13" s="99">
        <f>'Raw Data'!C14</f>
        <v>8669.33</v>
      </c>
    </row>
    <row r="14" spans="1:20">
      <c r="R14" s="97" t="s">
        <v>113</v>
      </c>
      <c r="S14" s="99">
        <f>'Raw Data'!D8</f>
        <v>27166.020000000048</v>
      </c>
      <c r="T14" s="99">
        <f>'Raw Data'!D14</f>
        <v>10470.719999999999</v>
      </c>
    </row>
    <row r="15" spans="1:20">
      <c r="R15" s="97" t="s">
        <v>114</v>
      </c>
      <c r="S15" s="99">
        <f>'Raw Data'!E8</f>
        <v>28758.119999999995</v>
      </c>
      <c r="T15" s="99">
        <f>'Raw Data'!E14</f>
        <v>13059.11</v>
      </c>
    </row>
    <row r="16" spans="1:20">
      <c r="R16" s="97" t="s">
        <v>115</v>
      </c>
      <c r="S16" s="99">
        <f>'Raw Data'!F8</f>
        <v>34426.899999999994</v>
      </c>
      <c r="T16" s="99">
        <f>'Raw Data'!F14</f>
        <v>15037.11</v>
      </c>
    </row>
    <row r="18" spans="18:20">
      <c r="R18" s="95" t="s">
        <v>186</v>
      </c>
      <c r="S18" s="96" t="s">
        <v>188</v>
      </c>
      <c r="T18" s="96" t="s">
        <v>189</v>
      </c>
    </row>
    <row r="19" spans="18:20">
      <c r="R19" s="97" t="s">
        <v>111</v>
      </c>
      <c r="S19" s="100">
        <f>'Financial Ratios'!C5</f>
        <v>0.15533924695071724</v>
      </c>
      <c r="T19" s="100">
        <f>'Financial Ratios'!C6</f>
        <v>5.5387566274555849E-2</v>
      </c>
    </row>
    <row r="20" spans="18:20">
      <c r="R20" s="97" t="s">
        <v>112</v>
      </c>
      <c r="S20" s="100">
        <f>'Financial Ratios'!D5</f>
        <v>0.14817233707518324</v>
      </c>
      <c r="T20" s="100">
        <f>'Financial Ratios'!D6</f>
        <v>5.7110723369115525E-2</v>
      </c>
    </row>
    <row r="21" spans="18:20">
      <c r="R21" s="97" t="s">
        <v>113</v>
      </c>
      <c r="S21" s="100">
        <f>'Financial Ratios'!E5</f>
        <v>0.13006079111346322</v>
      </c>
      <c r="T21" s="100">
        <f>'Financial Ratios'!E6</f>
        <v>5.9060821007692409E-2</v>
      </c>
    </row>
    <row r="22" spans="18:20">
      <c r="R22" s="97" t="s">
        <v>114</v>
      </c>
      <c r="S22" s="100">
        <f>'Financial Ratios'!F5</f>
        <v>0.1346197197913695</v>
      </c>
      <c r="T22" s="100">
        <f>'Financial Ratios'!F6</f>
        <v>5.8799704146234505E-2</v>
      </c>
    </row>
    <row r="23" spans="18:20">
      <c r="R23" s="97" t="s">
        <v>115</v>
      </c>
      <c r="S23" s="100">
        <f>'Financial Ratios'!G5</f>
        <v>0.12386805168536261</v>
      </c>
      <c r="T23" s="100">
        <f>'Financial Ratios'!G6</f>
        <v>5.6262443403458783E-2</v>
      </c>
    </row>
    <row r="25" spans="18:20" ht="29">
      <c r="R25" s="95" t="s">
        <v>186</v>
      </c>
      <c r="S25" s="96" t="s">
        <v>190</v>
      </c>
      <c r="T25" s="96" t="s">
        <v>191</v>
      </c>
    </row>
    <row r="26" spans="18:20">
      <c r="R26" s="97" t="s">
        <v>111</v>
      </c>
      <c r="S26" s="101">
        <f>'Financial Ratios'!C12</f>
        <v>1.5230147294559755</v>
      </c>
      <c r="T26" s="101">
        <f>'Financial Ratios'!C13</f>
        <v>2.8887880645112407</v>
      </c>
    </row>
    <row r="27" spans="18:20">
      <c r="R27" s="97" t="s">
        <v>112</v>
      </c>
      <c r="S27" s="101">
        <f>'Financial Ratios'!D12</f>
        <v>1.3506762592505313</v>
      </c>
      <c r="T27" s="101">
        <f>'Financial Ratios'!D13</f>
        <v>3.1821408002168292</v>
      </c>
    </row>
    <row r="28" spans="18:20">
      <c r="R28" s="97" t="s">
        <v>113</v>
      </c>
      <c r="S28" s="101">
        <f>'Financial Ratios'!E12</f>
        <v>1.3469574303803509</v>
      </c>
      <c r="T28" s="101">
        <f>'Financial Ratios'!E13</f>
        <v>3.5440504112100597</v>
      </c>
    </row>
    <row r="29" spans="18:20">
      <c r="R29" s="97" t="s">
        <v>114</v>
      </c>
      <c r="S29" s="101">
        <f>'Financial Ratios'!F12</f>
        <v>1.3558763655130892</v>
      </c>
      <c r="T29" s="101">
        <f>'Financial Ratios'!F13</f>
        <v>3.7909908330461723</v>
      </c>
    </row>
    <row r="30" spans="18:20">
      <c r="R30" s="97" t="s">
        <v>115</v>
      </c>
      <c r="S30" s="101">
        <f>'Financial Ratios'!G12</f>
        <v>1.1482918808525588</v>
      </c>
      <c r="T30" s="101">
        <f>'Financial Ratios'!G13</f>
        <v>4.0171779067894153</v>
      </c>
    </row>
    <row r="32" spans="18:20" ht="29">
      <c r="R32" s="95" t="s">
        <v>192</v>
      </c>
      <c r="S32" s="96" t="s">
        <v>193</v>
      </c>
    </row>
    <row r="33" spans="18:19" ht="43.5">
      <c r="R33" s="97" t="s">
        <v>194</v>
      </c>
      <c r="S33" s="102">
        <f>'DCF Valuation'!B44</f>
        <v>4708.1579600776131</v>
      </c>
    </row>
    <row r="34" spans="18:19" ht="43.5">
      <c r="R34" s="97" t="s">
        <v>101</v>
      </c>
      <c r="S34" s="102">
        <f>'DCF Valuation'!B45</f>
        <v>4061</v>
      </c>
    </row>
  </sheetData>
  <mergeCells count="1">
    <mergeCell ref="A1:N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D28465-B3CF-4299-AE27-1F4E0791B6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Raw Data</vt:lpstr>
      <vt:lpstr>Financial Ratios</vt:lpstr>
      <vt:lpstr>DCF Valuation</vt:lpstr>
      <vt:lpstr>Sensitivity Analysis</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2026-08-05T05:51:18Z</dcterms:created>
  <dcterms:modified xsi:type="dcterms:W3CDTF">2026-08-14T11:50:33Z</dcterms:modified>
</cp:coreProperties>
</file>